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hazanah-my.sharepoint.com/personal/jerry_qhazanahsabah_com_my/Documents/"/>
    </mc:Choice>
  </mc:AlternateContent>
  <xr:revisionPtr revIDLastSave="101" documentId="13_ncr:1_{BC520EA7-B94C-49D6-BE61-D4A60B418C3D}" xr6:coauthVersionLast="47" xr6:coauthVersionMax="47" xr10:uidLastSave="{D2E815C4-E24E-824B-8598-1E0E42A14772}"/>
  <bookViews>
    <workbookView xWindow="28680" yWindow="-1290" windowWidth="29040" windowHeight="15720" firstSheet="7" activeTab="8" xr2:uid="{DC46503D-838E-4039-9605-B743A7EAC2B3}"/>
  </bookViews>
  <sheets>
    <sheet name="2025" sheetId="13" r:id="rId1"/>
    <sheet name="Jan" sheetId="1" r:id="rId2"/>
    <sheet name="Feb" sheetId="2" r:id="rId3"/>
    <sheet name="Mar" sheetId="3" r:id="rId4"/>
    <sheet name="Apr" sheetId="4" r:id="rId5"/>
    <sheet name="May" sheetId="5" r:id="rId6"/>
    <sheet name="Jun" sheetId="6" r:id="rId7"/>
    <sheet name="Jul" sheetId="7" r:id="rId8"/>
    <sheet name="Aug" sheetId="8" r:id="rId9"/>
    <sheet name="Sep" sheetId="9" r:id="rId10"/>
    <sheet name="Oct" sheetId="10" r:id="rId11"/>
    <sheet name="Nov" sheetId="11" r:id="rId12"/>
    <sheet name="Dec" sheetId="12" r:id="rId13"/>
    <sheet name="DATABASE" sheetId="15" r:id="rId14"/>
    <sheet name="SABAH HOLIDAY LIVE" sheetId="17" r:id="rId15"/>
  </sheets>
  <definedNames>
    <definedName name="ExternalData_1" localSheetId="14" hidden="1">'SABAH HOLIDAY LIVE'!$A$1:$B$22</definedName>
    <definedName name="_xlnm.Print_Area" localSheetId="0">'2025'!$B$1:$AB$37</definedName>
    <definedName name="valuevx">42.314159</definedName>
    <definedName name="vertex42_copyright" hidden="1">"© 2019 Vertex42 LLC"</definedName>
    <definedName name="vertex42_id" hidden="1">"2025-calendar.xlsx"</definedName>
    <definedName name="vertex42_title" hidden="1">"2025 Calendar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1" l="1"/>
  <c r="N38" i="11"/>
  <c r="L3" i="12"/>
  <c r="J3" i="12"/>
  <c r="H3" i="12"/>
  <c r="H9" i="12"/>
  <c r="J9" i="12"/>
  <c r="L9" i="12"/>
  <c r="L21" i="12"/>
  <c r="L15" i="12"/>
  <c r="J15" i="12"/>
  <c r="H27" i="12"/>
  <c r="F27" i="12"/>
  <c r="F21" i="12"/>
  <c r="F3" i="12"/>
  <c r="F9" i="12"/>
  <c r="D27" i="12"/>
  <c r="D21" i="12"/>
  <c r="D15" i="12"/>
  <c r="D9" i="12"/>
  <c r="D3" i="12"/>
  <c r="F15" i="12"/>
  <c r="J21" i="12"/>
  <c r="H21" i="12"/>
  <c r="M34" i="3"/>
  <c r="N38" i="3"/>
  <c r="K33" i="3"/>
  <c r="M34" i="2"/>
  <c r="N38" i="2"/>
  <c r="K33" i="2"/>
  <c r="M34" i="1"/>
  <c r="N38" i="1"/>
  <c r="K33" i="1"/>
  <c r="M34" i="10"/>
  <c r="N38" i="10"/>
  <c r="K33" i="10"/>
  <c r="M34" i="9"/>
  <c r="N37" i="9"/>
  <c r="K33" i="9"/>
  <c r="M34" i="8"/>
  <c r="N38" i="8"/>
  <c r="K33" i="8"/>
  <c r="M34" i="7"/>
  <c r="N38" i="7"/>
  <c r="K33" i="7"/>
  <c r="M34" i="6"/>
  <c r="N38" i="6"/>
  <c r="K33" i="6"/>
  <c r="M34" i="5"/>
  <c r="N38" i="5"/>
  <c r="K33" i="5"/>
  <c r="M34" i="4"/>
  <c r="N37" i="4"/>
  <c r="K33" i="4"/>
  <c r="K33" i="11"/>
  <c r="K33" i="12"/>
  <c r="M34" i="12"/>
  <c r="N38" i="12"/>
  <c r="N36" i="4"/>
  <c r="N35" i="4"/>
  <c r="N34" i="4"/>
  <c r="N38" i="4"/>
  <c r="N34" i="3"/>
  <c r="N35" i="3"/>
  <c r="N36" i="3"/>
  <c r="N37" i="3"/>
  <c r="N35" i="2"/>
  <c r="N36" i="2"/>
  <c r="N34" i="2"/>
  <c r="N37" i="2"/>
  <c r="N34" i="1"/>
  <c r="N36" i="1"/>
  <c r="N37" i="1"/>
  <c r="N35" i="1"/>
  <c r="N34" i="11"/>
  <c r="N35" i="11"/>
  <c r="N36" i="11"/>
  <c r="N37" i="11"/>
  <c r="N34" i="10"/>
  <c r="N35" i="10"/>
  <c r="N36" i="10"/>
  <c r="N37" i="10"/>
  <c r="N34" i="9"/>
  <c r="N38" i="9"/>
  <c r="N36" i="9"/>
  <c r="N35" i="9"/>
  <c r="N34" i="8"/>
  <c r="N35" i="8"/>
  <c r="N36" i="8"/>
  <c r="N37" i="8"/>
  <c r="N34" i="7"/>
  <c r="N35" i="7"/>
  <c r="N36" i="7"/>
  <c r="N37" i="7"/>
  <c r="N35" i="6"/>
  <c r="N36" i="6"/>
  <c r="N37" i="6"/>
  <c r="N34" i="6"/>
  <c r="N34" i="5"/>
  <c r="N35" i="5"/>
  <c r="N36" i="5"/>
  <c r="N37" i="5"/>
  <c r="N36" i="12"/>
  <c r="N34" i="12"/>
  <c r="N37" i="12"/>
  <c r="N35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2025" description="Connection to the '2025' query in the workbook." type="5" refreshedVersion="8" background="1" saveData="1">
    <dbPr connection="Provider=Microsoft.Mashup.OleDb.1;Data Source=$Workbook$;Location=2025;Extended Properties=&quot;&quot;" command="SELECT * FROM [2025]"/>
  </connection>
</connections>
</file>

<file path=xl/sharedStrings.xml><?xml version="1.0" encoding="utf-8"?>
<sst xmlns="http://schemas.openxmlformats.org/spreadsheetml/2006/main" count="3185" uniqueCount="115">
  <si>
    <t>Notes</t>
  </si>
  <si>
    <t>January</t>
  </si>
  <si>
    <t>February</t>
  </si>
  <si>
    <t>March</t>
  </si>
  <si>
    <t>Su</t>
  </si>
  <si>
    <t>M</t>
  </si>
  <si>
    <t>Tu</t>
  </si>
  <si>
    <t>W</t>
  </si>
  <si>
    <t>Th</t>
  </si>
  <si>
    <t>F</t>
  </si>
  <si>
    <t>Sa</t>
  </si>
  <si>
    <t/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</si>
  <si>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</si>
  <si>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</si>
  <si>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</si>
  <si>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</si>
  <si>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</si>
  <si>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</si>
  <si>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</si>
  <si>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</si>
  <si>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</si>
  <si>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{42}</t>
  </si>
  <si>
    <t>JANUARY  2025</t>
  </si>
  <si>
    <t>Sunday</t>
  </si>
  <si>
    <t>Monday</t>
  </si>
  <si>
    <t>Tuesday</t>
  </si>
  <si>
    <t>Wednesday</t>
  </si>
  <si>
    <t>Thursday</t>
  </si>
  <si>
    <t>Friday</t>
  </si>
  <si>
    <t>Saturday</t>
  </si>
  <si>
    <t>NEW YEAR'S DAY</t>
  </si>
  <si>
    <t>WD</t>
  </si>
  <si>
    <t>CHINESE NEW YEAR</t>
  </si>
  <si>
    <t>JGA</t>
  </si>
  <si>
    <t>JGB/JG8</t>
  </si>
  <si>
    <t>JG7</t>
  </si>
  <si>
    <t>JG6</t>
  </si>
  <si>
    <t>JG5</t>
  </si>
  <si>
    <t>FEBRUARY  2025</t>
  </si>
  <si>
    <t>MARCH  2025</t>
  </si>
  <si>
    <t>Hari Raya Aidilfitri</t>
  </si>
  <si>
    <t>APRIL  2025</t>
  </si>
  <si>
    <t>SABAH TYT BIRTHDAY</t>
  </si>
  <si>
    <t>GOOD FRIDAY</t>
  </si>
  <si>
    <t>MAY  2025</t>
  </si>
  <si>
    <t>LABOUR DAY</t>
  </si>
  <si>
    <t>WESAK DAY</t>
  </si>
  <si>
    <t>HARVEST FESTIVAL</t>
  </si>
  <si>
    <t>JUNE  2025</t>
  </si>
  <si>
    <t>THE YANG DI-PERTUAN AGONG'S BIRTHDAY</t>
  </si>
  <si>
    <t>HARI RAYA HAJI</t>
  </si>
  <si>
    <t>AWAL MUHARRAM</t>
  </si>
  <si>
    <t>JULY  2025</t>
  </si>
  <si>
    <t>AUGUST  2025</t>
  </si>
  <si>
    <t>NATIONAL DAY</t>
  </si>
  <si>
    <t>SEPTEMBER  2025</t>
  </si>
  <si>
    <t>MERDEKA DAY HOLIDAY</t>
  </si>
  <si>
    <t>THE PROPHET MUHAMMAD'S BIRTHDAY</t>
  </si>
  <si>
    <t>MALAYSIA DAY</t>
  </si>
  <si>
    <t>OCTOBER  2025</t>
  </si>
  <si>
    <t>SABAH GOVERNOR'S BIRTHDAY</t>
  </si>
  <si>
    <t>DEEPAVALI</t>
  </si>
  <si>
    <t>NOVEMBER  2025</t>
  </si>
  <si>
    <t>DECEMBER  2025</t>
  </si>
  <si>
    <t>Date</t>
  </si>
  <si>
    <t>Day</t>
  </si>
  <si>
    <t>Holiday</t>
  </si>
  <si>
    <t>Wed</t>
  </si>
  <si>
    <t>New Year's Day</t>
  </si>
  <si>
    <t>Chinese New Year</t>
  </si>
  <si>
    <t>JG8</t>
  </si>
  <si>
    <t>Thu</t>
  </si>
  <si>
    <t>Chinese New Year Holiday</t>
  </si>
  <si>
    <t>Sun</t>
  </si>
  <si>
    <t>Sabah Governor's Birthday</t>
  </si>
  <si>
    <t>Mon</t>
  </si>
  <si>
    <t>Tue</t>
  </si>
  <si>
    <t>Hari Raya Aidilfitri Holiday</t>
  </si>
  <si>
    <t>Fri</t>
  </si>
  <si>
    <t>Good Friday</t>
  </si>
  <si>
    <t>Labour Day</t>
  </si>
  <si>
    <t>Wesak Day</t>
  </si>
  <si>
    <t>Harvest Festival</t>
  </si>
  <si>
    <t>Sat</t>
  </si>
  <si>
    <t>Harvest Festival Holiday</t>
  </si>
  <si>
    <t>Agong's Birthday</t>
  </si>
  <si>
    <t>Hari Raya Haji</t>
  </si>
  <si>
    <t>Awal Muharram</t>
  </si>
  <si>
    <t>Merdeka Day</t>
  </si>
  <si>
    <t>Merdeka Day Holiday</t>
  </si>
  <si>
    <t>Prophet Muhammad's Birthday</t>
  </si>
  <si>
    <t>Malaysia Day</t>
  </si>
  <si>
    <t>Deepavali</t>
  </si>
  <si>
    <t>Christmas Eve</t>
  </si>
  <si>
    <t>Christmas Day</t>
  </si>
  <si>
    <t>Column1</t>
  </si>
  <si>
    <t>Column2</t>
  </si>
  <si>
    <t>Tahun Baharu</t>
  </si>
  <si>
    <t>Tahun Baharu Cina</t>
  </si>
  <si>
    <t>Tahun Baharu Cina (Hari Kedua)</t>
  </si>
  <si>
    <t>Hari Jadi Yang di-Pertua Negeri Sabah</t>
  </si>
  <si>
    <t>Hari Raya Puasa</t>
  </si>
  <si>
    <t>Hari Raya Puasa (Hari kedua)</t>
  </si>
  <si>
    <t>Hari Pekerja</t>
  </si>
  <si>
    <t>Hari Wesak</t>
  </si>
  <si>
    <t>Pesta Kaamatan (Pesta Menuai)</t>
  </si>
  <si>
    <t>Pesta Kaamatan (Pesta Menuai) Hari Kedua</t>
  </si>
  <si>
    <t>Hari Keputeraan Rasmi Seri Paduka Baginda Yang di-Pertuan Agong</t>
  </si>
  <si>
    <t>Hari Raya Qurban</t>
  </si>
  <si>
    <t>Awal Muharram (Maal Hijrah)</t>
  </si>
  <si>
    <t>Hari Kebangsaan</t>
  </si>
  <si>
    <t>Hari Keputeraan Nabi Muhammad S.A.W. (Maulidur Rasul)</t>
  </si>
  <si>
    <t>Hari Malaysia</t>
  </si>
  <si>
    <t>Hari Deepavali</t>
  </si>
  <si>
    <t>Hari Krismas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</si>
</sst>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"/>
    <numFmt numFmtId="166" formatCode="&quot;RM&quot;#,##0.00"/>
  </numFmts>
  <fonts count="24" x14ac:knownFonts="1">
    <font>
      <sz val="10"/>
      <name val="Arial"/>
      <family val="2"/>
    </font>
    <font>
      <sz val="48"/>
      <color theme="4" tint="-0.249977111117893"/>
      <name val="Century Gothic"/>
      <family val="2"/>
      <scheme val="major"/>
    </font>
    <font>
      <b/>
      <sz val="12"/>
      <color indexed="9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</font>
    <font>
      <b/>
      <sz val="10"/>
      <name val="Arial"/>
      <family val="2"/>
      <scheme val="minor"/>
    </font>
    <font>
      <sz val="8"/>
      <name val="Arial"/>
      <family val="2"/>
      <scheme val="minor"/>
    </font>
    <font>
      <sz val="8"/>
      <color theme="1" tint="0.34998626667073579"/>
      <name val="Arial"/>
      <family val="2"/>
    </font>
    <font>
      <sz val="6"/>
      <color rgb="FFFAFAFA"/>
      <name val="Arial"/>
      <family val="2"/>
      <scheme val="minor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9"/>
      <color theme="1" tint="0.499984740745262"/>
      <name val="Arial"/>
      <family val="2"/>
    </font>
    <font>
      <sz val="8"/>
      <color rgb="FF969696"/>
      <name val="Arial"/>
      <family val="2"/>
    </font>
    <font>
      <b/>
      <sz val="28"/>
      <color theme="4" tint="-0.249977111117893"/>
      <name val="Century Gothic"/>
      <family val="2"/>
      <scheme val="major"/>
    </font>
    <font>
      <sz val="18"/>
      <name val="Century Gothic"/>
      <family val="2"/>
      <scheme val="major"/>
    </font>
    <font>
      <b/>
      <sz val="12"/>
      <color indexed="9"/>
      <name val="Century Gothic"/>
      <family val="2"/>
      <scheme val="major"/>
    </font>
    <font>
      <sz val="11"/>
      <name val="Arial"/>
      <family val="2"/>
    </font>
    <font>
      <sz val="10"/>
      <name val="Arial"/>
      <family val="2"/>
    </font>
    <font>
      <sz val="8"/>
      <color rgb="FFFAFAFA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0"/>
      <name val="Arial"/>
      <family val="2"/>
    </font>
    <font>
      <sz val="9"/>
      <color rgb="FFFF0000"/>
      <name val="Arial"/>
      <family val="2"/>
      <scheme val="minor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86999114963225199"/>
        <bgColor indexed="64"/>
      </patternFill>
    </fill>
    <fill>
      <patternFill patternType="solid">
        <fgColor theme="0" tint="-6.9978942228461558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indexed="55"/>
      </bottom>
      <diagonal/>
    </border>
    <border>
      <left/>
      <right/>
      <top style="thin">
        <color theme="4" tint="-0.24994659260841701"/>
      </top>
      <bottom style="thin">
        <color indexed="55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55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theme="4" tint="-0.24994659260841701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theme="4" tint="-0.24994659260841701"/>
      </right>
      <top style="thin">
        <color indexed="55"/>
      </top>
      <bottom style="thin">
        <color indexed="55"/>
      </bottom>
      <diagonal/>
    </border>
    <border>
      <left style="thin">
        <color theme="4" tint="-0.24994659260841701"/>
      </left>
      <right style="thin">
        <color indexed="55"/>
      </right>
      <top style="thin">
        <color indexed="55"/>
      </top>
      <bottom style="thin">
        <color theme="4" tint="-0.2499465926084170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theme="4" tint="-0.24994659260841701"/>
      </bottom>
      <diagonal/>
    </border>
    <border>
      <left style="thin">
        <color indexed="55"/>
      </left>
      <right style="thin">
        <color theme="4" tint="-0.24994659260841701"/>
      </right>
      <top style="thin">
        <color indexed="55"/>
      </top>
      <bottom style="thin">
        <color theme="4" tint="-0.24994659260841701"/>
      </bottom>
      <diagonal/>
    </border>
    <border>
      <left/>
      <right/>
      <top style="thin">
        <color indexed="55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-0.2499465926084170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18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165" fontId="3" fillId="3" borderId="4" xfId="0" applyNumberFormat="1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left" vertical="center" shrinkToFit="1"/>
    </xf>
    <xf numFmtId="165" fontId="3" fillId="0" borderId="4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shrinkToFit="1"/>
    </xf>
    <xf numFmtId="0" fontId="5" fillId="0" borderId="0" xfId="0" applyFont="1" applyAlignment="1">
      <alignment vertical="center"/>
    </xf>
    <xf numFmtId="0" fontId="6" fillId="0" borderId="4" xfId="0" applyFont="1" applyBorder="1"/>
    <xf numFmtId="0" fontId="4" fillId="0" borderId="10" xfId="0" applyFont="1" applyBorder="1"/>
    <xf numFmtId="0" fontId="4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7" xfId="0" applyFont="1" applyBorder="1"/>
    <xf numFmtId="0" fontId="7" fillId="0" borderId="0" xfId="0" applyFont="1" applyAlignment="1">
      <alignment vertical="center"/>
    </xf>
    <xf numFmtId="0" fontId="7" fillId="0" borderId="8" xfId="0" applyFont="1" applyBorder="1"/>
    <xf numFmtId="0" fontId="7" fillId="0" borderId="11" xfId="0" applyFont="1" applyBorder="1"/>
    <xf numFmtId="0" fontId="9" fillId="0" borderId="9" xfId="0" applyFont="1" applyBorder="1" applyAlignment="1">
      <alignment horizontal="right"/>
    </xf>
    <xf numFmtId="0" fontId="12" fillId="0" borderId="0" xfId="0" applyFont="1"/>
    <xf numFmtId="165" fontId="3" fillId="4" borderId="4" xfId="0" applyNumberFormat="1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left" vertical="center" shrinkToFit="1"/>
    </xf>
    <xf numFmtId="0" fontId="15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7" fillId="0" borderId="0" xfId="0" applyFont="1" applyAlignment="1">
      <alignment vertical="center" shrinkToFit="1"/>
    </xf>
    <xf numFmtId="0" fontId="0" fillId="0" borderId="19" xfId="0" applyBorder="1"/>
    <xf numFmtId="0" fontId="4" fillId="0" borderId="20" xfId="0" applyFont="1" applyBorder="1"/>
    <xf numFmtId="0" fontId="0" fillId="0" borderId="21" xfId="0" applyBorder="1"/>
    <xf numFmtId="0" fontId="4" fillId="5" borderId="6" xfId="0" applyFont="1" applyFill="1" applyBorder="1" applyAlignment="1">
      <alignment horizontal="center" vertical="center" shrinkToFit="1"/>
    </xf>
    <xf numFmtId="0" fontId="4" fillId="5" borderId="0" xfId="0" applyFont="1" applyFill="1" applyAlignment="1">
      <alignment horizontal="center" vertical="center" shrinkToFit="1"/>
    </xf>
    <xf numFmtId="0" fontId="4" fillId="5" borderId="7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2" xfId="0" applyFont="1" applyBorder="1"/>
    <xf numFmtId="0" fontId="4" fillId="0" borderId="23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29" xfId="0" applyBorder="1"/>
    <xf numFmtId="0" fontId="8" fillId="0" borderId="0" xfId="0" applyFont="1" applyAlignment="1">
      <alignment horizontal="right"/>
    </xf>
    <xf numFmtId="0" fontId="0" fillId="0" borderId="30" xfId="0" applyBorder="1"/>
    <xf numFmtId="0" fontId="0" fillId="0" borderId="12" xfId="0" applyBorder="1"/>
    <xf numFmtId="0" fontId="5" fillId="0" borderId="31" xfId="0" applyFont="1" applyBorder="1" applyAlignment="1">
      <alignment horizontal="right"/>
    </xf>
    <xf numFmtId="0" fontId="19" fillId="0" borderId="0" xfId="0" applyFont="1" applyAlignment="1">
      <alignment horizontal="center" shrinkToFit="1"/>
    </xf>
    <xf numFmtId="0" fontId="20" fillId="0" borderId="5" xfId="0" applyFont="1" applyBorder="1" applyAlignment="1">
      <alignment horizontal="left" vertical="center" shrinkToFit="1"/>
    </xf>
    <xf numFmtId="16" fontId="0" fillId="0" borderId="0" xfId="0" applyNumberFormat="1"/>
    <xf numFmtId="0" fontId="4" fillId="0" borderId="6" xfId="0" applyFont="1" applyBorder="1"/>
    <xf numFmtId="0" fontId="11" fillId="0" borderId="11" xfId="1" applyFont="1" applyBorder="1" applyAlignment="1" applyProtection="1">
      <alignment vertical="center"/>
    </xf>
    <xf numFmtId="0" fontId="4" fillId="0" borderId="32" xfId="0" applyFont="1" applyBorder="1"/>
    <xf numFmtId="166" fontId="0" fillId="0" borderId="0" xfId="2" applyNumberFormat="1" applyFont="1"/>
    <xf numFmtId="0" fontId="4" fillId="0" borderId="21" xfId="0" applyFont="1" applyBorder="1"/>
    <xf numFmtId="0" fontId="4" fillId="0" borderId="31" xfId="0" applyFont="1" applyBorder="1"/>
    <xf numFmtId="0" fontId="21" fillId="6" borderId="0" xfId="0" applyFont="1" applyFill="1"/>
    <xf numFmtId="0" fontId="20" fillId="3" borderId="5" xfId="0" applyFont="1" applyFill="1" applyBorder="1" applyAlignment="1">
      <alignment horizontal="left" vertical="center" shrinkToFit="1"/>
    </xf>
    <xf numFmtId="0" fontId="11" fillId="0" borderId="12" xfId="1" applyFont="1" applyBorder="1" applyAlignment="1" applyProtection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0" fontId="4" fillId="3" borderId="6" xfId="0" applyFont="1" applyFill="1" applyBorder="1" applyAlignment="1">
      <alignment vertical="center"/>
    </xf>
    <xf numFmtId="0" fontId="4" fillId="0" borderId="0" xfId="0" applyFont="1"/>
    <xf numFmtId="0" fontId="4" fillId="0" borderId="7" xfId="0" applyFont="1" applyBorder="1" applyAlignment="1">
      <alignment vertical="center"/>
    </xf>
    <xf numFmtId="14" fontId="0" fillId="0" borderId="0" xfId="0" applyNumberFormat="1"/>
    <xf numFmtId="0" fontId="16" fillId="2" borderId="16" xfId="0" applyFont="1" applyFill="1" applyBorder="1" applyAlignment="1">
      <alignment horizontal="center" vertical="center" shrinkToFit="1"/>
    </xf>
    <xf numFmtId="0" fontId="16" fillId="2" borderId="17" xfId="0" applyFont="1" applyFill="1" applyBorder="1" applyAlignment="1">
      <alignment horizontal="center" vertical="center" shrinkToFit="1"/>
    </xf>
    <xf numFmtId="0" fontId="16" fillId="2" borderId="18" xfId="0" applyFont="1" applyFill="1" applyBorder="1" applyAlignment="1">
      <alignment horizontal="center" vertical="center" shrinkToFit="1"/>
    </xf>
    <xf numFmtId="0" fontId="14" fillId="0" borderId="12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2" fillId="0" borderId="5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3" fillId="0" borderId="0" xfId="1" applyFont="1" applyBorder="1" applyAlignment="1" applyProtection="1">
      <alignment horizontal="center" vertical="top"/>
    </xf>
    <xf numFmtId="0" fontId="20" fillId="0" borderId="5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 shrinkToFit="1"/>
    </xf>
    <xf numFmtId="0" fontId="20" fillId="3" borderId="7" xfId="0" applyFont="1" applyFill="1" applyBorder="1" applyAlignment="1">
      <alignment horizontal="center" vertical="center" wrapText="1" shrinkToFit="1"/>
    </xf>
  </cellXfs>
  <cellStyles count="3">
    <cellStyle name="Comma" xfId="2" builtinId="3"/>
    <cellStyle name="Hyperlink" xfId="1" builtinId="8"/>
    <cellStyle name="Normal" xfId="0" builtinId="0" customBuiltin="1"/>
  </cellStyles>
  <dxfs count="3">
    <dxf>
      <fill>
        <patternFill>
          <bgColor theme="4" tint="0.79998168889431442"/>
        </patternFill>
      </fill>
    </dxf>
    <dxf>
      <numFmt numFmtId="167" formatCode="d/m/yyyy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D7EA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2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130176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8609145-08C6-4767-A092-333871E59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130176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34CEC9A-DCBC-4DA7-9B05-08C9F1C7B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130176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F7A6525-F5F8-4B72-B39F-A837AAB39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130176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CD273AB3-E6B8-4D40-8FFA-829D8B644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133986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9DB4F0A4-EA4C-4B99-B15B-084FC21F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133986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1192D466-387F-428B-970D-DE914EB8B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130176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98EC1576-10C0-45F7-9FD1-669D2B8D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130176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6DE9BC9E-475C-45B8-B536-55CF46114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133986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C8DB774E-D628-4D07-A5B5-BF1761A4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133986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DC163513-97D6-4C5A-A52F-5CF599FB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133986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783BBA5D-188D-4D10-AD95-A050E0AC7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133986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DE4957FF-66E2-4326-8C85-493C1595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130176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BCDAFB61-ED0A-4BEE-9F8A-6FD624560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130176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394B69EC-74FE-496D-8B80-FCA94F567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133986</xdr:rowOff>
    </xdr:to>
    <xdr:pic>
      <xdr:nvPicPr>
        <xdr:cNvPr id="8193" name="Picture 1">
          <a:extLst>
            <a:ext uri="{FF2B5EF4-FFF2-40B4-BE49-F238E27FC236}">
              <a16:creationId xmlns:a16="http://schemas.microsoft.com/office/drawing/2014/main" id="{5CEF4D69-F618-42D9-BF5D-FD85F16C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133986</xdr:rowOff>
    </xdr:to>
    <xdr:pic>
      <xdr:nvPicPr>
        <xdr:cNvPr id="8194" name="Picture 2">
          <a:extLst>
            <a:ext uri="{FF2B5EF4-FFF2-40B4-BE49-F238E27FC236}">
              <a16:creationId xmlns:a16="http://schemas.microsoft.com/office/drawing/2014/main" id="{B1DCCDD9-C1C1-46AE-86FD-C95047E7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130176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64D00AC2-C55D-4D74-AB1C-B8FC1EAE1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130176</xdr:rowOff>
    </xdr:to>
    <xdr:pic>
      <xdr:nvPicPr>
        <xdr:cNvPr id="9218" name="Picture 2">
          <a:extLst>
            <a:ext uri="{FF2B5EF4-FFF2-40B4-BE49-F238E27FC236}">
              <a16:creationId xmlns:a16="http://schemas.microsoft.com/office/drawing/2014/main" id="{A9DA175A-A06E-457B-B937-8EF6B78B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133986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4D6EBA10-E8AA-43E6-8DC5-CC2464BD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133986</xdr:rowOff>
    </xdr:to>
    <xdr:pic>
      <xdr:nvPicPr>
        <xdr:cNvPr id="10242" name="Picture 2">
          <a:extLst>
            <a:ext uri="{FF2B5EF4-FFF2-40B4-BE49-F238E27FC236}">
              <a16:creationId xmlns:a16="http://schemas.microsoft.com/office/drawing/2014/main" id="{275559F6-4F12-489D-8DF4-973CA622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130176</xdr:rowOff>
    </xdr:to>
    <xdr:pic>
      <xdr:nvPicPr>
        <xdr:cNvPr id="11265" name="Picture 1">
          <a:extLst>
            <a:ext uri="{FF2B5EF4-FFF2-40B4-BE49-F238E27FC236}">
              <a16:creationId xmlns:a16="http://schemas.microsoft.com/office/drawing/2014/main" id="{B4939881-F4B8-4D93-A76C-FD2C0857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130176</xdr:rowOff>
    </xdr:to>
    <xdr:pic>
      <xdr:nvPicPr>
        <xdr:cNvPr id="11266" name="Picture 2">
          <a:extLst>
            <a:ext uri="{FF2B5EF4-FFF2-40B4-BE49-F238E27FC236}">
              <a16:creationId xmlns:a16="http://schemas.microsoft.com/office/drawing/2014/main" id="{26C18E0A-9354-400C-8B3F-82E02442C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133986</xdr:rowOff>
    </xdr:to>
    <xdr:pic>
      <xdr:nvPicPr>
        <xdr:cNvPr id="12289" name="Picture 1">
          <a:extLst>
            <a:ext uri="{FF2B5EF4-FFF2-40B4-BE49-F238E27FC236}">
              <a16:creationId xmlns:a16="http://schemas.microsoft.com/office/drawing/2014/main" id="{55B72C78-273E-4AF9-ACED-C5E746489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133986</xdr:rowOff>
    </xdr:to>
    <xdr:pic>
      <xdr:nvPicPr>
        <xdr:cNvPr id="12290" name="Picture 2">
          <a:extLst>
            <a:ext uri="{FF2B5EF4-FFF2-40B4-BE49-F238E27FC236}">
              <a16:creationId xmlns:a16="http://schemas.microsoft.com/office/drawing/2014/main" id="{685100C7-841A-4A08-81EC-3C275352B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E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69DC7-024B-4D41-8B6A-C7358490D7F9}" name="_2025" displayName="_2025" ref="A1:B22" tableType="queryTable" totalsRowShown="0">
  <autoFilter ref="A1:B22" xr:uid="{42369DC7-024B-4D41-8B6A-C7358490D7F9}"/>
  <tableColumns count="2">
    <tableColumn id="1" xr3:uid="{4301507F-1CCC-4AED-9D8B-2A4910619A6C}" uniqueName="1" name="Column1" queryTableFieldId="1" dataDxfId="2"/>
    <tableColumn id="2" xr3:uid="{52AA722A-4F21-47B2-9FB1-68EAF56FD977}" uniqueName="2" name="Column2" queryTableFieldId="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ertex42 - Calendar Stickers">
      <a:dk1>
        <a:sysClr val="windowText" lastClr="000000"/>
      </a:dk1>
      <a:lt1>
        <a:sysClr val="window" lastClr="FFFFFF"/>
      </a:lt1>
      <a:dk2>
        <a:srgbClr val="3464AB"/>
      </a:dk2>
      <a:lt2>
        <a:srgbClr val="D5D5D5"/>
      </a:lt2>
      <a:accent1>
        <a:srgbClr val="3464AB"/>
      </a:accent1>
      <a:accent2>
        <a:srgbClr val="736AB0"/>
      </a:accent2>
      <a:accent3>
        <a:srgbClr val="50BEE3"/>
      </a:accent3>
      <a:accent4>
        <a:srgbClr val="4DBA69"/>
      </a:accent4>
      <a:accent5>
        <a:srgbClr val="FAA61F"/>
      </a:accent5>
      <a:accent6>
        <a:srgbClr val="EE4543"/>
      </a:accent6>
      <a:hlink>
        <a:srgbClr val="4C92AE"/>
      </a:hlink>
      <a:folHlink>
        <a:srgbClr val="969696"/>
      </a:folHlink>
    </a:clrScheme>
    <a:fontScheme name="Vertex42 Calendars">
      <a:majorFont>
        <a:latin typeface="Century Gothic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EDF9-D4FD-4A90-A0FB-7940C49604A2}">
  <sheetPr>
    <pageSetUpPr fitToPage="1"/>
  </sheetPr>
  <dimension ref="B1:AB37"/>
  <sheetViews>
    <sheetView showGridLines="0" zoomScaleNormal="100" workbookViewId="0">
      <selection activeCell="H5" sqref="H5"/>
    </sheetView>
  </sheetViews>
  <sheetFormatPr defaultRowHeight="12.75" x14ac:dyDescent="0.15"/>
  <cols>
    <col min="1" max="1" width="2.96484375" customWidth="1"/>
    <col min="2" max="24" width="3.234375" customWidth="1"/>
    <col min="25" max="26" width="2.96484375" customWidth="1"/>
    <col min="27" max="27" width="38.16015625" customWidth="1"/>
    <col min="28" max="28" width="3.1015625" customWidth="1"/>
    <col min="29" max="29" width="5.93359375" customWidth="1"/>
  </cols>
  <sheetData>
    <row r="1" spans="2:28" ht="36" customHeight="1" x14ac:dyDescent="0.25">
      <c r="B1" s="67">
        <v>2025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AA1" s="20" t="s">
        <v>0</v>
      </c>
    </row>
    <row r="2" spans="2:28" x14ac:dyDescent="0.15">
      <c r="Z2" s="21"/>
      <c r="AA2" s="22"/>
      <c r="AB2" s="23"/>
    </row>
    <row r="3" spans="2:28" ht="18" customHeight="1" x14ac:dyDescent="0.15">
      <c r="B3" s="64" t="s">
        <v>1</v>
      </c>
      <c r="C3" s="65"/>
      <c r="D3" s="65"/>
      <c r="E3" s="65"/>
      <c r="F3" s="65"/>
      <c r="G3" s="65"/>
      <c r="H3" s="66"/>
      <c r="I3" s="24"/>
      <c r="J3" s="64" t="s">
        <v>2</v>
      </c>
      <c r="K3" s="65"/>
      <c r="L3" s="65"/>
      <c r="M3" s="65"/>
      <c r="N3" s="65"/>
      <c r="O3" s="65"/>
      <c r="P3" s="66"/>
      <c r="Q3" s="24"/>
      <c r="R3" s="64" t="s">
        <v>3</v>
      </c>
      <c r="S3" s="65"/>
      <c r="T3" s="65"/>
      <c r="U3" s="65"/>
      <c r="V3" s="65"/>
      <c r="W3" s="65"/>
      <c r="X3" s="66"/>
      <c r="Z3" s="25"/>
      <c r="AA3" s="26"/>
      <c r="AB3" s="27"/>
    </row>
    <row r="4" spans="2:28" ht="14.25" customHeight="1" x14ac:dyDescent="0.15">
      <c r="B4" s="28" t="s">
        <v>4</v>
      </c>
      <c r="C4" s="29" t="s">
        <v>5</v>
      </c>
      <c r="D4" s="29" t="s">
        <v>6</v>
      </c>
      <c r="E4" s="29" t="s">
        <v>7</v>
      </c>
      <c r="F4" s="29" t="s">
        <v>8</v>
      </c>
      <c r="G4" s="29" t="s">
        <v>9</v>
      </c>
      <c r="H4" s="30" t="s">
        <v>10</v>
      </c>
      <c r="I4" s="31"/>
      <c r="J4" s="28" t="s">
        <v>4</v>
      </c>
      <c r="K4" s="29" t="s">
        <v>5</v>
      </c>
      <c r="L4" s="29" t="s">
        <v>6</v>
      </c>
      <c r="M4" s="29" t="s">
        <v>7</v>
      </c>
      <c r="N4" s="29" t="s">
        <v>8</v>
      </c>
      <c r="O4" s="29" t="s">
        <v>9</v>
      </c>
      <c r="P4" s="30" t="s">
        <v>10</v>
      </c>
      <c r="Q4" s="31"/>
      <c r="R4" s="28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9</v>
      </c>
      <c r="X4" s="30" t="s">
        <v>10</v>
      </c>
      <c r="Z4" s="25"/>
      <c r="AA4" s="32"/>
      <c r="AB4" s="27"/>
    </row>
    <row r="5" spans="2:28" ht="14.25" customHeight="1" x14ac:dyDescent="0.15">
      <c r="B5" s="33" t="s">
        <v>11</v>
      </c>
      <c r="C5" s="34" t="s">
        <v>11</v>
      </c>
      <c r="D5" s="34" t="s">
        <v>11</v>
      </c>
      <c r="E5" s="34">
        <v>1</v>
      </c>
      <c r="F5" s="34">
        <v>2</v>
      </c>
      <c r="G5" s="34">
        <v>3</v>
      </c>
      <c r="H5" s="35">
        <v>4</v>
      </c>
      <c r="I5" s="31"/>
      <c r="J5" s="33" t="s">
        <v>11</v>
      </c>
      <c r="K5" s="34" t="s">
        <v>11</v>
      </c>
      <c r="L5" s="34" t="s">
        <v>11</v>
      </c>
      <c r="M5" s="34" t="s">
        <v>11</v>
      </c>
      <c r="N5" s="34" t="s">
        <v>11</v>
      </c>
      <c r="O5" s="34" t="s">
        <v>11</v>
      </c>
      <c r="P5" s="35">
        <v>1</v>
      </c>
      <c r="Q5" s="31"/>
      <c r="R5" s="33" t="s">
        <v>11</v>
      </c>
      <c r="S5" s="34" t="s">
        <v>11</v>
      </c>
      <c r="T5" s="34" t="s">
        <v>11</v>
      </c>
      <c r="U5" s="34" t="s">
        <v>11</v>
      </c>
      <c r="V5" s="34" t="s">
        <v>11</v>
      </c>
      <c r="W5" s="34" t="s">
        <v>11</v>
      </c>
      <c r="X5" s="35">
        <v>1</v>
      </c>
      <c r="Z5" s="25"/>
      <c r="AA5" s="32"/>
      <c r="AB5" s="27"/>
    </row>
    <row r="6" spans="2:28" ht="14.25" customHeight="1" x14ac:dyDescent="0.15">
      <c r="B6" s="33">
        <v>5</v>
      </c>
      <c r="C6" s="34">
        <v>6</v>
      </c>
      <c r="D6" s="34">
        <v>7</v>
      </c>
      <c r="E6" s="34">
        <v>8</v>
      </c>
      <c r="F6" s="34">
        <v>9</v>
      </c>
      <c r="G6" s="34">
        <v>10</v>
      </c>
      <c r="H6" s="35">
        <v>11</v>
      </c>
      <c r="I6" s="31"/>
      <c r="J6" s="33">
        <v>2</v>
      </c>
      <c r="K6" s="34">
        <v>3</v>
      </c>
      <c r="L6" s="34">
        <v>4</v>
      </c>
      <c r="M6" s="34">
        <v>5</v>
      </c>
      <c r="N6" s="34">
        <v>6</v>
      </c>
      <c r="O6" s="34">
        <v>7</v>
      </c>
      <c r="P6" s="35">
        <v>8</v>
      </c>
      <c r="Q6" s="31"/>
      <c r="R6" s="33">
        <v>2</v>
      </c>
      <c r="S6" s="34">
        <v>3</v>
      </c>
      <c r="T6" s="34">
        <v>4</v>
      </c>
      <c r="U6" s="34">
        <v>5</v>
      </c>
      <c r="V6" s="34">
        <v>6</v>
      </c>
      <c r="W6" s="34">
        <v>7</v>
      </c>
      <c r="X6" s="35">
        <v>8</v>
      </c>
      <c r="Z6" s="25"/>
      <c r="AA6" s="32"/>
      <c r="AB6" s="27"/>
    </row>
    <row r="7" spans="2:28" ht="14.25" customHeight="1" x14ac:dyDescent="0.15">
      <c r="B7" s="33">
        <v>12</v>
      </c>
      <c r="C7" s="34">
        <v>13</v>
      </c>
      <c r="D7" s="34">
        <v>14</v>
      </c>
      <c r="E7" s="34">
        <v>15</v>
      </c>
      <c r="F7" s="34">
        <v>16</v>
      </c>
      <c r="G7" s="34">
        <v>17</v>
      </c>
      <c r="H7" s="35">
        <v>18</v>
      </c>
      <c r="I7" s="31"/>
      <c r="J7" s="33">
        <v>9</v>
      </c>
      <c r="K7" s="34">
        <v>10</v>
      </c>
      <c r="L7" s="34">
        <v>11</v>
      </c>
      <c r="M7" s="34">
        <v>12</v>
      </c>
      <c r="N7" s="34">
        <v>13</v>
      </c>
      <c r="O7" s="34">
        <v>14</v>
      </c>
      <c r="P7" s="35">
        <v>15</v>
      </c>
      <c r="Q7" s="31"/>
      <c r="R7" s="33">
        <v>9</v>
      </c>
      <c r="S7" s="34">
        <v>10</v>
      </c>
      <c r="T7" s="34">
        <v>11</v>
      </c>
      <c r="U7" s="34">
        <v>12</v>
      </c>
      <c r="V7" s="34">
        <v>13</v>
      </c>
      <c r="W7" s="34">
        <v>14</v>
      </c>
      <c r="X7" s="35">
        <v>15</v>
      </c>
      <c r="Z7" s="25"/>
      <c r="AA7" s="32"/>
      <c r="AB7" s="27"/>
    </row>
    <row r="8" spans="2:28" ht="14.25" customHeight="1" x14ac:dyDescent="0.15">
      <c r="B8" s="33">
        <v>19</v>
      </c>
      <c r="C8" s="34">
        <v>20</v>
      </c>
      <c r="D8" s="34">
        <v>21</v>
      </c>
      <c r="E8" s="34">
        <v>22</v>
      </c>
      <c r="F8" s="34">
        <v>23</v>
      </c>
      <c r="G8" s="34">
        <v>24</v>
      </c>
      <c r="H8" s="35">
        <v>25</v>
      </c>
      <c r="I8" s="31"/>
      <c r="J8" s="33">
        <v>16</v>
      </c>
      <c r="K8" s="34">
        <v>17</v>
      </c>
      <c r="L8" s="34">
        <v>18</v>
      </c>
      <c r="M8" s="34">
        <v>19</v>
      </c>
      <c r="N8" s="34">
        <v>20</v>
      </c>
      <c r="O8" s="34">
        <v>21</v>
      </c>
      <c r="P8" s="35">
        <v>22</v>
      </c>
      <c r="Q8" s="31"/>
      <c r="R8" s="33">
        <v>16</v>
      </c>
      <c r="S8" s="34">
        <v>17</v>
      </c>
      <c r="T8" s="34">
        <v>18</v>
      </c>
      <c r="U8" s="34">
        <v>19</v>
      </c>
      <c r="V8" s="34">
        <v>20</v>
      </c>
      <c r="W8" s="34">
        <v>21</v>
      </c>
      <c r="X8" s="35">
        <v>22</v>
      </c>
      <c r="Z8" s="25"/>
      <c r="AA8" s="32"/>
      <c r="AB8" s="27"/>
    </row>
    <row r="9" spans="2:28" ht="14.25" customHeight="1" x14ac:dyDescent="0.15">
      <c r="B9" s="33">
        <v>26</v>
      </c>
      <c r="C9" s="34">
        <v>27</v>
      </c>
      <c r="D9" s="34">
        <v>28</v>
      </c>
      <c r="E9" s="34">
        <v>29</v>
      </c>
      <c r="F9" s="34">
        <v>30</v>
      </c>
      <c r="G9" s="34">
        <v>31</v>
      </c>
      <c r="H9" s="35" t="s">
        <v>11</v>
      </c>
      <c r="I9" s="31"/>
      <c r="J9" s="33">
        <v>23</v>
      </c>
      <c r="K9" s="34">
        <v>24</v>
      </c>
      <c r="L9" s="34">
        <v>25</v>
      </c>
      <c r="M9" s="34">
        <v>26</v>
      </c>
      <c r="N9" s="34">
        <v>27</v>
      </c>
      <c r="O9" s="34">
        <v>28</v>
      </c>
      <c r="P9" s="35" t="s">
        <v>11</v>
      </c>
      <c r="Q9" s="31"/>
      <c r="R9" s="33">
        <v>23</v>
      </c>
      <c r="S9" s="34">
        <v>24</v>
      </c>
      <c r="T9" s="34">
        <v>25</v>
      </c>
      <c r="U9" s="34">
        <v>26</v>
      </c>
      <c r="V9" s="34">
        <v>27</v>
      </c>
      <c r="W9" s="34">
        <v>28</v>
      </c>
      <c r="X9" s="35">
        <v>29</v>
      </c>
      <c r="Z9" s="25"/>
      <c r="AA9" s="32"/>
      <c r="AB9" s="27"/>
    </row>
    <row r="10" spans="2:28" ht="14.25" customHeight="1" x14ac:dyDescent="0.15">
      <c r="B10" s="36" t="s">
        <v>11</v>
      </c>
      <c r="C10" s="37" t="s">
        <v>11</v>
      </c>
      <c r="D10" s="37" t="s">
        <v>11</v>
      </c>
      <c r="E10" s="37" t="s">
        <v>11</v>
      </c>
      <c r="F10" s="37" t="s">
        <v>11</v>
      </c>
      <c r="G10" s="37" t="s">
        <v>11</v>
      </c>
      <c r="H10" s="38" t="s">
        <v>11</v>
      </c>
      <c r="I10" s="31"/>
      <c r="J10" s="36" t="s">
        <v>11</v>
      </c>
      <c r="K10" s="37" t="s">
        <v>11</v>
      </c>
      <c r="L10" s="37" t="s">
        <v>11</v>
      </c>
      <c r="M10" s="37" t="s">
        <v>11</v>
      </c>
      <c r="N10" s="37" t="s">
        <v>11</v>
      </c>
      <c r="O10" s="37" t="s">
        <v>11</v>
      </c>
      <c r="P10" s="38" t="s">
        <v>11</v>
      </c>
      <c r="Q10" s="31"/>
      <c r="R10" s="36">
        <v>30</v>
      </c>
      <c r="S10" s="37">
        <v>31</v>
      </c>
      <c r="T10" s="37" t="s">
        <v>11</v>
      </c>
      <c r="U10" s="37" t="s">
        <v>11</v>
      </c>
      <c r="V10" s="37" t="s">
        <v>11</v>
      </c>
      <c r="W10" s="37" t="s">
        <v>11</v>
      </c>
      <c r="X10" s="38" t="s">
        <v>11</v>
      </c>
      <c r="Z10" s="25"/>
      <c r="AA10" s="32"/>
      <c r="AB10" s="27"/>
    </row>
    <row r="11" spans="2:28" ht="14.25" customHeight="1" x14ac:dyDescent="0.1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Z11" s="25"/>
      <c r="AA11" s="32"/>
      <c r="AB11" s="27"/>
    </row>
    <row r="12" spans="2:28" ht="18" customHeight="1" x14ac:dyDescent="0.15">
      <c r="B12" s="64" t="s">
        <v>12</v>
      </c>
      <c r="C12" s="65"/>
      <c r="D12" s="65"/>
      <c r="E12" s="65"/>
      <c r="F12" s="65"/>
      <c r="G12" s="65"/>
      <c r="H12" s="66"/>
      <c r="I12" s="24"/>
      <c r="J12" s="64" t="s">
        <v>13</v>
      </c>
      <c r="K12" s="65"/>
      <c r="L12" s="65"/>
      <c r="M12" s="65"/>
      <c r="N12" s="65"/>
      <c r="O12" s="65"/>
      <c r="P12" s="66"/>
      <c r="Q12" s="24"/>
      <c r="R12" s="64" t="s">
        <v>14</v>
      </c>
      <c r="S12" s="65"/>
      <c r="T12" s="65"/>
      <c r="U12" s="65"/>
      <c r="V12" s="65"/>
      <c r="W12" s="65"/>
      <c r="X12" s="66"/>
      <c r="Z12" s="25"/>
      <c r="AA12" s="32"/>
      <c r="AB12" s="27"/>
    </row>
    <row r="13" spans="2:28" ht="14.25" customHeight="1" x14ac:dyDescent="0.15">
      <c r="B13" s="28" t="s">
        <v>4</v>
      </c>
      <c r="C13" s="29" t="s">
        <v>5</v>
      </c>
      <c r="D13" s="29" t="s">
        <v>6</v>
      </c>
      <c r="E13" s="29" t="s">
        <v>7</v>
      </c>
      <c r="F13" s="29" t="s">
        <v>8</v>
      </c>
      <c r="G13" s="29" t="s">
        <v>9</v>
      </c>
      <c r="H13" s="30" t="s">
        <v>10</v>
      </c>
      <c r="I13" s="31"/>
      <c r="J13" s="28" t="s">
        <v>4</v>
      </c>
      <c r="K13" s="29" t="s">
        <v>5</v>
      </c>
      <c r="L13" s="29" t="s">
        <v>6</v>
      </c>
      <c r="M13" s="29" t="s">
        <v>7</v>
      </c>
      <c r="N13" s="29" t="s">
        <v>8</v>
      </c>
      <c r="O13" s="29" t="s">
        <v>9</v>
      </c>
      <c r="P13" s="30" t="s">
        <v>10</v>
      </c>
      <c r="Q13" s="31"/>
      <c r="R13" s="28" t="s">
        <v>4</v>
      </c>
      <c r="S13" s="29" t="s">
        <v>5</v>
      </c>
      <c r="T13" s="29" t="s">
        <v>6</v>
      </c>
      <c r="U13" s="29" t="s">
        <v>7</v>
      </c>
      <c r="V13" s="29" t="s">
        <v>8</v>
      </c>
      <c r="W13" s="29" t="s">
        <v>9</v>
      </c>
      <c r="X13" s="30" t="s">
        <v>10</v>
      </c>
      <c r="Z13" s="25"/>
      <c r="AA13" s="32"/>
      <c r="AB13" s="27"/>
    </row>
    <row r="14" spans="2:28" ht="14.25" customHeight="1" x14ac:dyDescent="0.15">
      <c r="B14" s="33" t="s">
        <v>11</v>
      </c>
      <c r="C14" s="34" t="s">
        <v>11</v>
      </c>
      <c r="D14" s="34">
        <v>1</v>
      </c>
      <c r="E14" s="34">
        <v>2</v>
      </c>
      <c r="F14" s="34">
        <v>3</v>
      </c>
      <c r="G14" s="34">
        <v>4</v>
      </c>
      <c r="H14" s="35">
        <v>5</v>
      </c>
      <c r="I14" s="31"/>
      <c r="J14" s="33" t="s">
        <v>11</v>
      </c>
      <c r="K14" s="34" t="s">
        <v>11</v>
      </c>
      <c r="L14" s="34" t="s">
        <v>11</v>
      </c>
      <c r="M14" s="34" t="s">
        <v>11</v>
      </c>
      <c r="N14" s="34">
        <v>1</v>
      </c>
      <c r="O14" s="34">
        <v>2</v>
      </c>
      <c r="P14" s="35">
        <v>3</v>
      </c>
      <c r="Q14" s="31"/>
      <c r="R14" s="33">
        <v>1</v>
      </c>
      <c r="S14" s="34">
        <v>2</v>
      </c>
      <c r="T14" s="34">
        <v>3</v>
      </c>
      <c r="U14" s="34">
        <v>4</v>
      </c>
      <c r="V14" s="34">
        <v>5</v>
      </c>
      <c r="W14" s="34">
        <v>6</v>
      </c>
      <c r="X14" s="35">
        <v>7</v>
      </c>
      <c r="Z14" s="25"/>
      <c r="AA14" s="32"/>
      <c r="AB14" s="27"/>
    </row>
    <row r="15" spans="2:28" ht="14.25" customHeight="1" x14ac:dyDescent="0.15">
      <c r="B15" s="33">
        <v>6</v>
      </c>
      <c r="C15" s="34">
        <v>7</v>
      </c>
      <c r="D15" s="34">
        <v>8</v>
      </c>
      <c r="E15" s="34">
        <v>9</v>
      </c>
      <c r="F15" s="34">
        <v>10</v>
      </c>
      <c r="G15" s="34">
        <v>11</v>
      </c>
      <c r="H15" s="35">
        <v>12</v>
      </c>
      <c r="I15" s="31"/>
      <c r="J15" s="33">
        <v>4</v>
      </c>
      <c r="K15" s="34">
        <v>5</v>
      </c>
      <c r="L15" s="34">
        <v>6</v>
      </c>
      <c r="M15" s="34">
        <v>7</v>
      </c>
      <c r="N15" s="34">
        <v>8</v>
      </c>
      <c r="O15" s="34">
        <v>9</v>
      </c>
      <c r="P15" s="35">
        <v>10</v>
      </c>
      <c r="Q15" s="31"/>
      <c r="R15" s="33">
        <v>8</v>
      </c>
      <c r="S15" s="34">
        <v>9</v>
      </c>
      <c r="T15" s="34">
        <v>10</v>
      </c>
      <c r="U15" s="34">
        <v>11</v>
      </c>
      <c r="V15" s="34">
        <v>12</v>
      </c>
      <c r="W15" s="34">
        <v>13</v>
      </c>
      <c r="X15" s="35">
        <v>14</v>
      </c>
      <c r="Z15" s="25"/>
      <c r="AA15" s="32"/>
      <c r="AB15" s="27"/>
    </row>
    <row r="16" spans="2:28" ht="14.25" customHeight="1" x14ac:dyDescent="0.15">
      <c r="B16" s="33">
        <v>13</v>
      </c>
      <c r="C16" s="34">
        <v>14</v>
      </c>
      <c r="D16" s="34">
        <v>15</v>
      </c>
      <c r="E16" s="34">
        <v>16</v>
      </c>
      <c r="F16" s="34">
        <v>17</v>
      </c>
      <c r="G16" s="34">
        <v>18</v>
      </c>
      <c r="H16" s="35">
        <v>19</v>
      </c>
      <c r="I16" s="31"/>
      <c r="J16" s="33">
        <v>11</v>
      </c>
      <c r="K16" s="34">
        <v>12</v>
      </c>
      <c r="L16" s="34">
        <v>13</v>
      </c>
      <c r="M16" s="34">
        <v>14</v>
      </c>
      <c r="N16" s="34">
        <v>15</v>
      </c>
      <c r="O16" s="34">
        <v>16</v>
      </c>
      <c r="P16" s="35">
        <v>17</v>
      </c>
      <c r="Q16" s="31"/>
      <c r="R16" s="33">
        <v>15</v>
      </c>
      <c r="S16" s="34">
        <v>16</v>
      </c>
      <c r="T16" s="34">
        <v>17</v>
      </c>
      <c r="U16" s="34">
        <v>18</v>
      </c>
      <c r="V16" s="34">
        <v>19</v>
      </c>
      <c r="W16" s="34">
        <v>20</v>
      </c>
      <c r="X16" s="35">
        <v>21</v>
      </c>
      <c r="Z16" s="25"/>
      <c r="AA16" s="32"/>
      <c r="AB16" s="27"/>
    </row>
    <row r="17" spans="2:28" ht="14.25" customHeight="1" x14ac:dyDescent="0.15">
      <c r="B17" s="33">
        <v>20</v>
      </c>
      <c r="C17" s="34">
        <v>21</v>
      </c>
      <c r="D17" s="34">
        <v>22</v>
      </c>
      <c r="E17" s="34">
        <v>23</v>
      </c>
      <c r="F17" s="34">
        <v>24</v>
      </c>
      <c r="G17" s="34">
        <v>25</v>
      </c>
      <c r="H17" s="35">
        <v>26</v>
      </c>
      <c r="I17" s="31"/>
      <c r="J17" s="33">
        <v>18</v>
      </c>
      <c r="K17" s="34">
        <v>19</v>
      </c>
      <c r="L17" s="34">
        <v>20</v>
      </c>
      <c r="M17" s="34">
        <v>21</v>
      </c>
      <c r="N17" s="34">
        <v>22</v>
      </c>
      <c r="O17" s="34">
        <v>23</v>
      </c>
      <c r="P17" s="35">
        <v>24</v>
      </c>
      <c r="Q17" s="31"/>
      <c r="R17" s="33">
        <v>22</v>
      </c>
      <c r="S17" s="34">
        <v>23</v>
      </c>
      <c r="T17" s="34">
        <v>24</v>
      </c>
      <c r="U17" s="34">
        <v>25</v>
      </c>
      <c r="V17" s="34">
        <v>26</v>
      </c>
      <c r="W17" s="34">
        <v>27</v>
      </c>
      <c r="X17" s="35">
        <v>28</v>
      </c>
      <c r="Z17" s="25"/>
      <c r="AA17" s="32"/>
      <c r="AB17" s="27"/>
    </row>
    <row r="18" spans="2:28" ht="14.25" customHeight="1" x14ac:dyDescent="0.15">
      <c r="B18" s="33">
        <v>27</v>
      </c>
      <c r="C18" s="34">
        <v>28</v>
      </c>
      <c r="D18" s="34">
        <v>29</v>
      </c>
      <c r="E18" s="34">
        <v>30</v>
      </c>
      <c r="F18" s="34" t="s">
        <v>11</v>
      </c>
      <c r="G18" s="34" t="s">
        <v>11</v>
      </c>
      <c r="H18" s="35" t="s">
        <v>11</v>
      </c>
      <c r="I18" s="31"/>
      <c r="J18" s="33">
        <v>25</v>
      </c>
      <c r="K18" s="34">
        <v>26</v>
      </c>
      <c r="L18" s="34">
        <v>27</v>
      </c>
      <c r="M18" s="34">
        <v>28</v>
      </c>
      <c r="N18" s="34">
        <v>29</v>
      </c>
      <c r="O18" s="34">
        <v>30</v>
      </c>
      <c r="P18" s="35">
        <v>31</v>
      </c>
      <c r="Q18" s="31"/>
      <c r="R18" s="33">
        <v>29</v>
      </c>
      <c r="S18" s="34">
        <v>30</v>
      </c>
      <c r="T18" s="34" t="s">
        <v>11</v>
      </c>
      <c r="U18" s="34" t="s">
        <v>11</v>
      </c>
      <c r="V18" s="34" t="s">
        <v>11</v>
      </c>
      <c r="W18" s="34" t="s">
        <v>11</v>
      </c>
      <c r="X18" s="35" t="s">
        <v>11</v>
      </c>
      <c r="Z18" s="25"/>
      <c r="AA18" s="32"/>
      <c r="AB18" s="27"/>
    </row>
    <row r="19" spans="2:28" ht="14.25" customHeight="1" x14ac:dyDescent="0.15">
      <c r="B19" s="36" t="s">
        <v>11</v>
      </c>
      <c r="C19" s="37" t="s">
        <v>11</v>
      </c>
      <c r="D19" s="37" t="s">
        <v>11</v>
      </c>
      <c r="E19" s="37" t="s">
        <v>11</v>
      </c>
      <c r="F19" s="37" t="s">
        <v>11</v>
      </c>
      <c r="G19" s="37" t="s">
        <v>11</v>
      </c>
      <c r="H19" s="38" t="s">
        <v>11</v>
      </c>
      <c r="I19" s="31"/>
      <c r="J19" s="36" t="s">
        <v>11</v>
      </c>
      <c r="K19" s="37" t="s">
        <v>11</v>
      </c>
      <c r="L19" s="37" t="s">
        <v>11</v>
      </c>
      <c r="M19" s="37" t="s">
        <v>11</v>
      </c>
      <c r="N19" s="37" t="s">
        <v>11</v>
      </c>
      <c r="O19" s="37" t="s">
        <v>11</v>
      </c>
      <c r="P19" s="38" t="s">
        <v>11</v>
      </c>
      <c r="Q19" s="31"/>
      <c r="R19" s="36" t="s">
        <v>11</v>
      </c>
      <c r="S19" s="37" t="s">
        <v>11</v>
      </c>
      <c r="T19" s="37" t="s">
        <v>11</v>
      </c>
      <c r="U19" s="37" t="s">
        <v>11</v>
      </c>
      <c r="V19" s="37" t="s">
        <v>11</v>
      </c>
      <c r="W19" s="37" t="s">
        <v>11</v>
      </c>
      <c r="X19" s="38" t="s">
        <v>11</v>
      </c>
      <c r="Z19" s="25"/>
      <c r="AA19" s="32"/>
      <c r="AB19" s="27"/>
    </row>
    <row r="20" spans="2:28" ht="14.25" customHeight="1" x14ac:dyDescent="0.1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Z20" s="25"/>
      <c r="AA20" s="32"/>
      <c r="AB20" s="27"/>
    </row>
    <row r="21" spans="2:28" ht="18" customHeight="1" x14ac:dyDescent="0.15">
      <c r="B21" s="64" t="s">
        <v>15</v>
      </c>
      <c r="C21" s="65"/>
      <c r="D21" s="65"/>
      <c r="E21" s="65"/>
      <c r="F21" s="65"/>
      <c r="G21" s="65"/>
      <c r="H21" s="66"/>
      <c r="I21" s="24"/>
      <c r="J21" s="64" t="s">
        <v>16</v>
      </c>
      <c r="K21" s="65"/>
      <c r="L21" s="65"/>
      <c r="M21" s="65"/>
      <c r="N21" s="65"/>
      <c r="O21" s="65"/>
      <c r="P21" s="66"/>
      <c r="Q21" s="24"/>
      <c r="R21" s="64" t="s">
        <v>17</v>
      </c>
      <c r="S21" s="65"/>
      <c r="T21" s="65"/>
      <c r="U21" s="65"/>
      <c r="V21" s="65"/>
      <c r="W21" s="65"/>
      <c r="X21" s="66"/>
      <c r="Z21" s="25"/>
      <c r="AA21" s="32"/>
      <c r="AB21" s="27"/>
    </row>
    <row r="22" spans="2:28" ht="14.25" customHeight="1" x14ac:dyDescent="0.15">
      <c r="B22" s="28" t="s">
        <v>4</v>
      </c>
      <c r="C22" s="29" t="s">
        <v>5</v>
      </c>
      <c r="D22" s="29" t="s">
        <v>6</v>
      </c>
      <c r="E22" s="29" t="s">
        <v>7</v>
      </c>
      <c r="F22" s="29" t="s">
        <v>8</v>
      </c>
      <c r="G22" s="29" t="s">
        <v>9</v>
      </c>
      <c r="H22" s="30" t="s">
        <v>10</v>
      </c>
      <c r="I22" s="31"/>
      <c r="J22" s="28" t="s">
        <v>4</v>
      </c>
      <c r="K22" s="29" t="s">
        <v>5</v>
      </c>
      <c r="L22" s="29" t="s">
        <v>6</v>
      </c>
      <c r="M22" s="29" t="s">
        <v>7</v>
      </c>
      <c r="N22" s="29" t="s">
        <v>8</v>
      </c>
      <c r="O22" s="29" t="s">
        <v>9</v>
      </c>
      <c r="P22" s="30" t="s">
        <v>10</v>
      </c>
      <c r="Q22" s="31"/>
      <c r="R22" s="28" t="s">
        <v>4</v>
      </c>
      <c r="S22" s="29" t="s">
        <v>5</v>
      </c>
      <c r="T22" s="29" t="s">
        <v>6</v>
      </c>
      <c r="U22" s="29" t="s">
        <v>7</v>
      </c>
      <c r="V22" s="29" t="s">
        <v>8</v>
      </c>
      <c r="W22" s="29" t="s">
        <v>9</v>
      </c>
      <c r="X22" s="30" t="s">
        <v>10</v>
      </c>
      <c r="Z22" s="25"/>
      <c r="AA22" s="32"/>
      <c r="AB22" s="27"/>
    </row>
    <row r="23" spans="2:28" ht="14.25" customHeight="1" x14ac:dyDescent="0.15">
      <c r="B23" s="33" t="s">
        <v>11</v>
      </c>
      <c r="C23" s="34" t="s">
        <v>11</v>
      </c>
      <c r="D23" s="34">
        <v>1</v>
      </c>
      <c r="E23" s="34">
        <v>2</v>
      </c>
      <c r="F23" s="34">
        <v>3</v>
      </c>
      <c r="G23" s="34">
        <v>4</v>
      </c>
      <c r="H23" s="35">
        <v>5</v>
      </c>
      <c r="I23" s="31"/>
      <c r="J23" s="33" t="s">
        <v>11</v>
      </c>
      <c r="K23" s="34" t="s">
        <v>11</v>
      </c>
      <c r="L23" s="34" t="s">
        <v>11</v>
      </c>
      <c r="M23" s="34" t="s">
        <v>11</v>
      </c>
      <c r="N23" s="34" t="s">
        <v>11</v>
      </c>
      <c r="O23" s="34">
        <v>1</v>
      </c>
      <c r="P23" s="35">
        <v>2</v>
      </c>
      <c r="Q23" s="31"/>
      <c r="R23" s="33" t="s">
        <v>11</v>
      </c>
      <c r="S23" s="34">
        <v>1</v>
      </c>
      <c r="T23" s="34">
        <v>2</v>
      </c>
      <c r="U23" s="34">
        <v>3</v>
      </c>
      <c r="V23" s="34">
        <v>4</v>
      </c>
      <c r="W23" s="34">
        <v>5</v>
      </c>
      <c r="X23" s="35">
        <v>6</v>
      </c>
      <c r="Z23" s="25"/>
      <c r="AA23" s="32"/>
      <c r="AB23" s="27"/>
    </row>
    <row r="24" spans="2:28" ht="14.25" customHeight="1" x14ac:dyDescent="0.15">
      <c r="B24" s="33">
        <v>6</v>
      </c>
      <c r="C24" s="34">
        <v>7</v>
      </c>
      <c r="D24" s="34">
        <v>8</v>
      </c>
      <c r="E24" s="34">
        <v>9</v>
      </c>
      <c r="F24" s="34">
        <v>10</v>
      </c>
      <c r="G24" s="34">
        <v>11</v>
      </c>
      <c r="H24" s="35">
        <v>12</v>
      </c>
      <c r="I24" s="31"/>
      <c r="J24" s="33">
        <v>3</v>
      </c>
      <c r="K24" s="34">
        <v>4</v>
      </c>
      <c r="L24" s="34">
        <v>5</v>
      </c>
      <c r="M24" s="34">
        <v>6</v>
      </c>
      <c r="N24" s="34">
        <v>7</v>
      </c>
      <c r="O24" s="34">
        <v>8</v>
      </c>
      <c r="P24" s="35">
        <v>9</v>
      </c>
      <c r="Q24" s="31"/>
      <c r="R24" s="33">
        <v>7</v>
      </c>
      <c r="S24" s="34">
        <v>8</v>
      </c>
      <c r="T24" s="34">
        <v>9</v>
      </c>
      <c r="U24" s="34">
        <v>10</v>
      </c>
      <c r="V24" s="34">
        <v>11</v>
      </c>
      <c r="W24" s="34">
        <v>12</v>
      </c>
      <c r="X24" s="35">
        <v>13</v>
      </c>
      <c r="Z24" s="25"/>
      <c r="AA24" s="32"/>
      <c r="AB24" s="27"/>
    </row>
    <row r="25" spans="2:28" ht="14.25" customHeight="1" x14ac:dyDescent="0.15">
      <c r="B25" s="33">
        <v>13</v>
      </c>
      <c r="C25" s="34">
        <v>14</v>
      </c>
      <c r="D25" s="34">
        <v>15</v>
      </c>
      <c r="E25" s="34">
        <v>16</v>
      </c>
      <c r="F25" s="34">
        <v>17</v>
      </c>
      <c r="G25" s="34">
        <v>18</v>
      </c>
      <c r="H25" s="35">
        <v>19</v>
      </c>
      <c r="I25" s="31"/>
      <c r="J25" s="33">
        <v>10</v>
      </c>
      <c r="K25" s="34">
        <v>11</v>
      </c>
      <c r="L25" s="34">
        <v>12</v>
      </c>
      <c r="M25" s="34">
        <v>13</v>
      </c>
      <c r="N25" s="34">
        <v>14</v>
      </c>
      <c r="O25" s="34">
        <v>15</v>
      </c>
      <c r="P25" s="35">
        <v>16</v>
      </c>
      <c r="Q25" s="31"/>
      <c r="R25" s="33">
        <v>14</v>
      </c>
      <c r="S25" s="34">
        <v>15</v>
      </c>
      <c r="T25" s="34">
        <v>16</v>
      </c>
      <c r="U25" s="34">
        <v>17</v>
      </c>
      <c r="V25" s="34">
        <v>18</v>
      </c>
      <c r="W25" s="34">
        <v>19</v>
      </c>
      <c r="X25" s="35">
        <v>20</v>
      </c>
      <c r="Z25" s="25"/>
      <c r="AA25" s="32"/>
      <c r="AB25" s="27"/>
    </row>
    <row r="26" spans="2:28" ht="14.25" customHeight="1" x14ac:dyDescent="0.15">
      <c r="B26" s="33">
        <v>20</v>
      </c>
      <c r="C26" s="34">
        <v>21</v>
      </c>
      <c r="D26" s="34">
        <v>22</v>
      </c>
      <c r="E26" s="34">
        <v>23</v>
      </c>
      <c r="F26" s="34">
        <v>24</v>
      </c>
      <c r="G26" s="34">
        <v>25</v>
      </c>
      <c r="H26" s="35">
        <v>26</v>
      </c>
      <c r="I26" s="31"/>
      <c r="J26" s="33">
        <v>17</v>
      </c>
      <c r="K26" s="34">
        <v>18</v>
      </c>
      <c r="L26" s="34">
        <v>19</v>
      </c>
      <c r="M26" s="34">
        <v>20</v>
      </c>
      <c r="N26" s="34">
        <v>21</v>
      </c>
      <c r="O26" s="34">
        <v>22</v>
      </c>
      <c r="P26" s="35">
        <v>23</v>
      </c>
      <c r="Q26" s="31"/>
      <c r="R26" s="33">
        <v>21</v>
      </c>
      <c r="S26" s="34">
        <v>22</v>
      </c>
      <c r="T26" s="34">
        <v>23</v>
      </c>
      <c r="U26" s="34">
        <v>24</v>
      </c>
      <c r="V26" s="34">
        <v>25</v>
      </c>
      <c r="W26" s="34">
        <v>26</v>
      </c>
      <c r="X26" s="35">
        <v>27</v>
      </c>
      <c r="Z26" s="25"/>
      <c r="AA26" s="32"/>
      <c r="AB26" s="27"/>
    </row>
    <row r="27" spans="2:28" ht="14.25" customHeight="1" x14ac:dyDescent="0.15">
      <c r="B27" s="33">
        <v>27</v>
      </c>
      <c r="C27" s="34">
        <v>28</v>
      </c>
      <c r="D27" s="34">
        <v>29</v>
      </c>
      <c r="E27" s="34">
        <v>30</v>
      </c>
      <c r="F27" s="34">
        <v>31</v>
      </c>
      <c r="G27" s="34" t="s">
        <v>11</v>
      </c>
      <c r="H27" s="35" t="s">
        <v>11</v>
      </c>
      <c r="I27" s="31"/>
      <c r="J27" s="33">
        <v>24</v>
      </c>
      <c r="K27" s="34">
        <v>25</v>
      </c>
      <c r="L27" s="34">
        <v>26</v>
      </c>
      <c r="M27" s="34">
        <v>27</v>
      </c>
      <c r="N27" s="34">
        <v>28</v>
      </c>
      <c r="O27" s="34">
        <v>29</v>
      </c>
      <c r="P27" s="35">
        <v>30</v>
      </c>
      <c r="Q27" s="31"/>
      <c r="R27" s="33">
        <v>28</v>
      </c>
      <c r="S27" s="34">
        <v>29</v>
      </c>
      <c r="T27" s="34">
        <v>30</v>
      </c>
      <c r="U27" s="34" t="s">
        <v>11</v>
      </c>
      <c r="V27" s="34" t="s">
        <v>11</v>
      </c>
      <c r="W27" s="34" t="s">
        <v>11</v>
      </c>
      <c r="X27" s="35" t="s">
        <v>11</v>
      </c>
      <c r="Z27" s="25"/>
      <c r="AA27" s="32"/>
      <c r="AB27" s="27"/>
    </row>
    <row r="28" spans="2:28" ht="14.25" customHeight="1" x14ac:dyDescent="0.15">
      <c r="B28" s="36" t="s">
        <v>11</v>
      </c>
      <c r="C28" s="37" t="s">
        <v>11</v>
      </c>
      <c r="D28" s="37" t="s">
        <v>11</v>
      </c>
      <c r="E28" s="37" t="s">
        <v>11</v>
      </c>
      <c r="F28" s="37" t="s">
        <v>11</v>
      </c>
      <c r="G28" s="37" t="s">
        <v>11</v>
      </c>
      <c r="H28" s="38" t="s">
        <v>11</v>
      </c>
      <c r="I28" s="31"/>
      <c r="J28" s="36">
        <v>31</v>
      </c>
      <c r="K28" s="37" t="s">
        <v>11</v>
      </c>
      <c r="L28" s="37" t="s">
        <v>11</v>
      </c>
      <c r="M28" s="37" t="s">
        <v>11</v>
      </c>
      <c r="N28" s="37" t="s">
        <v>11</v>
      </c>
      <c r="O28" s="37" t="s">
        <v>11</v>
      </c>
      <c r="P28" s="38" t="s">
        <v>11</v>
      </c>
      <c r="Q28" s="31"/>
      <c r="R28" s="36" t="s">
        <v>11</v>
      </c>
      <c r="S28" s="37" t="s">
        <v>11</v>
      </c>
      <c r="T28" s="37" t="s">
        <v>11</v>
      </c>
      <c r="U28" s="37" t="s">
        <v>11</v>
      </c>
      <c r="V28" s="37" t="s">
        <v>11</v>
      </c>
      <c r="W28" s="37" t="s">
        <v>11</v>
      </c>
      <c r="X28" s="38" t="s">
        <v>11</v>
      </c>
      <c r="Z28" s="25"/>
      <c r="AA28" s="32"/>
      <c r="AB28" s="27"/>
    </row>
    <row r="29" spans="2:28" ht="14.25" customHeight="1" x14ac:dyDescent="0.1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Z29" s="25"/>
      <c r="AA29" s="32"/>
      <c r="AB29" s="27"/>
    </row>
    <row r="30" spans="2:28" ht="18" customHeight="1" x14ac:dyDescent="0.15">
      <c r="B30" s="64" t="s">
        <v>18</v>
      </c>
      <c r="C30" s="65"/>
      <c r="D30" s="65"/>
      <c r="E30" s="65"/>
      <c r="F30" s="65"/>
      <c r="G30" s="65"/>
      <c r="H30" s="66"/>
      <c r="I30" s="24"/>
      <c r="J30" s="64" t="s">
        <v>19</v>
      </c>
      <c r="K30" s="65"/>
      <c r="L30" s="65"/>
      <c r="M30" s="65"/>
      <c r="N30" s="65"/>
      <c r="O30" s="65"/>
      <c r="P30" s="66"/>
      <c r="Q30" s="24"/>
      <c r="R30" s="64" t="s">
        <v>20</v>
      </c>
      <c r="S30" s="65"/>
      <c r="T30" s="65"/>
      <c r="U30" s="65"/>
      <c r="V30" s="65"/>
      <c r="W30" s="65"/>
      <c r="X30" s="66"/>
      <c r="Z30" s="25"/>
      <c r="AA30" s="32"/>
      <c r="AB30" s="27"/>
    </row>
    <row r="31" spans="2:28" ht="14.25" customHeight="1" x14ac:dyDescent="0.15">
      <c r="B31" s="28" t="s">
        <v>4</v>
      </c>
      <c r="C31" s="29" t="s">
        <v>5</v>
      </c>
      <c r="D31" s="29" t="s">
        <v>6</v>
      </c>
      <c r="E31" s="29" t="s">
        <v>7</v>
      </c>
      <c r="F31" s="29" t="s">
        <v>8</v>
      </c>
      <c r="G31" s="29" t="s">
        <v>9</v>
      </c>
      <c r="H31" s="30" t="s">
        <v>10</v>
      </c>
      <c r="I31" s="31"/>
      <c r="J31" s="28" t="s">
        <v>4</v>
      </c>
      <c r="K31" s="29" t="s">
        <v>5</v>
      </c>
      <c r="L31" s="29" t="s">
        <v>6</v>
      </c>
      <c r="M31" s="29" t="s">
        <v>7</v>
      </c>
      <c r="N31" s="29" t="s">
        <v>8</v>
      </c>
      <c r="O31" s="29" t="s">
        <v>9</v>
      </c>
      <c r="P31" s="30" t="s">
        <v>10</v>
      </c>
      <c r="Q31" s="31"/>
      <c r="R31" s="28" t="s">
        <v>4</v>
      </c>
      <c r="S31" s="29" t="s">
        <v>5</v>
      </c>
      <c r="T31" s="29" t="s">
        <v>6</v>
      </c>
      <c r="U31" s="29" t="s">
        <v>7</v>
      </c>
      <c r="V31" s="29" t="s">
        <v>8</v>
      </c>
      <c r="W31" s="29" t="s">
        <v>9</v>
      </c>
      <c r="X31" s="30" t="s">
        <v>10</v>
      </c>
      <c r="Z31" s="25"/>
      <c r="AA31" s="32"/>
      <c r="AB31" s="27"/>
    </row>
    <row r="32" spans="2:28" ht="14.25" customHeight="1" x14ac:dyDescent="0.15">
      <c r="B32" s="33" t="s">
        <v>11</v>
      </c>
      <c r="C32" s="34" t="s">
        <v>11</v>
      </c>
      <c r="D32" s="34" t="s">
        <v>11</v>
      </c>
      <c r="E32" s="34">
        <v>1</v>
      </c>
      <c r="F32" s="34">
        <v>2</v>
      </c>
      <c r="G32" s="34">
        <v>3</v>
      </c>
      <c r="H32" s="35">
        <v>4</v>
      </c>
      <c r="I32" s="31"/>
      <c r="J32" s="33" t="s">
        <v>11</v>
      </c>
      <c r="K32" s="34" t="s">
        <v>11</v>
      </c>
      <c r="L32" s="34" t="s">
        <v>11</v>
      </c>
      <c r="M32" s="34" t="s">
        <v>11</v>
      </c>
      <c r="N32" s="34" t="s">
        <v>11</v>
      </c>
      <c r="O32" s="34" t="s">
        <v>11</v>
      </c>
      <c r="P32" s="35">
        <v>1</v>
      </c>
      <c r="Q32" s="31"/>
      <c r="R32" s="33" t="s">
        <v>11</v>
      </c>
      <c r="S32" s="34">
        <v>1</v>
      </c>
      <c r="T32" s="34">
        <v>2</v>
      </c>
      <c r="U32" s="34">
        <v>3</v>
      </c>
      <c r="V32" s="34">
        <v>4</v>
      </c>
      <c r="W32" s="34">
        <v>5</v>
      </c>
      <c r="X32" s="35">
        <v>6</v>
      </c>
      <c r="Z32" s="25"/>
      <c r="AA32" s="32"/>
      <c r="AB32" s="27"/>
    </row>
    <row r="33" spans="2:28" ht="14.25" customHeight="1" x14ac:dyDescent="0.15">
      <c r="B33" s="33">
        <v>5</v>
      </c>
      <c r="C33" s="34">
        <v>6</v>
      </c>
      <c r="D33" s="34">
        <v>7</v>
      </c>
      <c r="E33" s="34">
        <v>8</v>
      </c>
      <c r="F33" s="34">
        <v>9</v>
      </c>
      <c r="G33" s="34">
        <v>10</v>
      </c>
      <c r="H33" s="35">
        <v>11</v>
      </c>
      <c r="I33" s="31"/>
      <c r="J33" s="33">
        <v>2</v>
      </c>
      <c r="K33" s="34">
        <v>3</v>
      </c>
      <c r="L33" s="34">
        <v>4</v>
      </c>
      <c r="M33" s="34">
        <v>5</v>
      </c>
      <c r="N33" s="34">
        <v>6</v>
      </c>
      <c r="O33" s="34">
        <v>7</v>
      </c>
      <c r="P33" s="35">
        <v>8</v>
      </c>
      <c r="Q33" s="31"/>
      <c r="R33" s="33">
        <v>7</v>
      </c>
      <c r="S33" s="34">
        <v>8</v>
      </c>
      <c r="T33" s="34">
        <v>9</v>
      </c>
      <c r="U33" s="34">
        <v>10</v>
      </c>
      <c r="V33" s="34">
        <v>11</v>
      </c>
      <c r="W33" s="34">
        <v>12</v>
      </c>
      <c r="X33" s="35">
        <v>13</v>
      </c>
      <c r="Z33" s="25"/>
      <c r="AA33" s="32"/>
      <c r="AB33" s="27"/>
    </row>
    <row r="34" spans="2:28" ht="14.25" customHeight="1" x14ac:dyDescent="0.15">
      <c r="B34" s="33">
        <v>12</v>
      </c>
      <c r="C34" s="34">
        <v>13</v>
      </c>
      <c r="D34" s="34">
        <v>14</v>
      </c>
      <c r="E34" s="34">
        <v>15</v>
      </c>
      <c r="F34" s="34">
        <v>16</v>
      </c>
      <c r="G34" s="34">
        <v>17</v>
      </c>
      <c r="H34" s="35">
        <v>18</v>
      </c>
      <c r="I34" s="31"/>
      <c r="J34" s="33">
        <v>9</v>
      </c>
      <c r="K34" s="34">
        <v>10</v>
      </c>
      <c r="L34" s="34">
        <v>11</v>
      </c>
      <c r="M34" s="34">
        <v>12</v>
      </c>
      <c r="N34" s="34">
        <v>13</v>
      </c>
      <c r="O34" s="34">
        <v>14</v>
      </c>
      <c r="P34" s="35">
        <v>15</v>
      </c>
      <c r="Q34" s="31"/>
      <c r="R34" s="33">
        <v>14</v>
      </c>
      <c r="S34" s="34">
        <v>15</v>
      </c>
      <c r="T34" s="34">
        <v>16</v>
      </c>
      <c r="U34" s="34">
        <v>17</v>
      </c>
      <c r="V34" s="34">
        <v>18</v>
      </c>
      <c r="W34" s="34">
        <v>19</v>
      </c>
      <c r="X34" s="35">
        <v>20</v>
      </c>
      <c r="Z34" s="25"/>
      <c r="AA34" s="32"/>
      <c r="AB34" s="27"/>
    </row>
    <row r="35" spans="2:28" ht="14.25" customHeight="1" x14ac:dyDescent="0.15">
      <c r="B35" s="33">
        <v>19</v>
      </c>
      <c r="C35" s="34">
        <v>20</v>
      </c>
      <c r="D35" s="34">
        <v>21</v>
      </c>
      <c r="E35" s="34">
        <v>22</v>
      </c>
      <c r="F35" s="34">
        <v>23</v>
      </c>
      <c r="G35" s="34">
        <v>24</v>
      </c>
      <c r="H35" s="35">
        <v>25</v>
      </c>
      <c r="I35" s="31"/>
      <c r="J35" s="33">
        <v>16</v>
      </c>
      <c r="K35" s="34">
        <v>17</v>
      </c>
      <c r="L35" s="34">
        <v>18</v>
      </c>
      <c r="M35" s="34">
        <v>19</v>
      </c>
      <c r="N35" s="34">
        <v>20</v>
      </c>
      <c r="O35" s="34">
        <v>21</v>
      </c>
      <c r="P35" s="35">
        <v>22</v>
      </c>
      <c r="Q35" s="31"/>
      <c r="R35" s="33">
        <v>21</v>
      </c>
      <c r="S35" s="34">
        <v>22</v>
      </c>
      <c r="T35" s="34">
        <v>23</v>
      </c>
      <c r="U35" s="34">
        <v>24</v>
      </c>
      <c r="V35" s="34">
        <v>25</v>
      </c>
      <c r="W35" s="34">
        <v>26</v>
      </c>
      <c r="X35" s="35">
        <v>27</v>
      </c>
      <c r="Z35" s="25"/>
      <c r="AA35" s="40"/>
      <c r="AB35" s="27"/>
    </row>
    <row r="36" spans="2:28" ht="14.25" customHeight="1" x14ac:dyDescent="0.15">
      <c r="B36" s="33">
        <v>26</v>
      </c>
      <c r="C36" s="34">
        <v>27</v>
      </c>
      <c r="D36" s="34">
        <v>28</v>
      </c>
      <c r="E36" s="34">
        <v>29</v>
      </c>
      <c r="F36" s="34">
        <v>30</v>
      </c>
      <c r="G36" s="34">
        <v>31</v>
      </c>
      <c r="H36" s="35" t="s">
        <v>11</v>
      </c>
      <c r="I36" s="31"/>
      <c r="J36" s="33">
        <v>23</v>
      </c>
      <c r="K36" s="34">
        <v>24</v>
      </c>
      <c r="L36" s="34">
        <v>25</v>
      </c>
      <c r="M36" s="34">
        <v>26</v>
      </c>
      <c r="N36" s="34">
        <v>27</v>
      </c>
      <c r="O36" s="34">
        <v>28</v>
      </c>
      <c r="P36" s="35">
        <v>29</v>
      </c>
      <c r="Q36" s="45" t="s">
        <v>21</v>
      </c>
      <c r="R36" s="33">
        <v>28</v>
      </c>
      <c r="S36" s="34">
        <v>29</v>
      </c>
      <c r="T36" s="34">
        <v>30</v>
      </c>
      <c r="U36" s="34">
        <v>31</v>
      </c>
      <c r="V36" s="34" t="s">
        <v>11</v>
      </c>
      <c r="W36" s="34" t="s">
        <v>11</v>
      </c>
      <c r="X36" s="35" t="s">
        <v>11</v>
      </c>
      <c r="Z36" s="25"/>
      <c r="AA36" s="41"/>
      <c r="AB36" s="27"/>
    </row>
    <row r="37" spans="2:28" ht="14.25" customHeight="1" x14ac:dyDescent="0.15">
      <c r="B37" s="36" t="s">
        <v>11</v>
      </c>
      <c r="C37" s="37" t="s">
        <v>11</v>
      </c>
      <c r="D37" s="37" t="s">
        <v>11</v>
      </c>
      <c r="E37" s="37" t="s">
        <v>11</v>
      </c>
      <c r="F37" s="37" t="s">
        <v>11</v>
      </c>
      <c r="G37" s="37" t="s">
        <v>11</v>
      </c>
      <c r="H37" s="38" t="s">
        <v>11</v>
      </c>
      <c r="I37" s="31"/>
      <c r="J37" s="36">
        <v>30</v>
      </c>
      <c r="K37" s="37" t="s">
        <v>11</v>
      </c>
      <c r="L37" s="37" t="s">
        <v>11</v>
      </c>
      <c r="M37" s="37" t="s">
        <v>11</v>
      </c>
      <c r="N37" s="37" t="s">
        <v>11</v>
      </c>
      <c r="O37" s="37" t="s">
        <v>11</v>
      </c>
      <c r="P37" s="38" t="s">
        <v>11</v>
      </c>
      <c r="Q37" s="31"/>
      <c r="R37" s="36" t="s">
        <v>11</v>
      </c>
      <c r="S37" s="37" t="s">
        <v>11</v>
      </c>
      <c r="T37" s="37" t="s">
        <v>11</v>
      </c>
      <c r="U37" s="37" t="s">
        <v>11</v>
      </c>
      <c r="V37" s="37" t="s">
        <v>11</v>
      </c>
      <c r="W37" s="37" t="s">
        <v>11</v>
      </c>
      <c r="X37" s="38" t="s">
        <v>11</v>
      </c>
      <c r="Z37" s="42"/>
      <c r="AA37" s="43"/>
      <c r="AB37" s="44"/>
    </row>
  </sheetData>
  <mergeCells count="13">
    <mergeCell ref="B30:H30"/>
    <mergeCell ref="J30:P30"/>
    <mergeCell ref="R30:X30"/>
    <mergeCell ref="B1:X1"/>
    <mergeCell ref="B3:H3"/>
    <mergeCell ref="J3:P3"/>
    <mergeCell ref="R3:X3"/>
    <mergeCell ref="B12:H12"/>
    <mergeCell ref="J12:P12"/>
    <mergeCell ref="R12:X12"/>
    <mergeCell ref="B21:H21"/>
    <mergeCell ref="J21:P21"/>
    <mergeCell ref="R21:X21"/>
  </mergeCells>
  <conditionalFormatting sqref="B5:H10 J5:P10 R5:X10 B14:H19 J14:P19 R14:X19 B23:H28 J23:P28 R23:X28 B32:H37 J32:P37 R32:X37">
    <cfRule type="cellIs" dxfId="0" priority="1" stopIfTrue="1" operator="equal">
      <formula>""</formula>
    </cfRule>
  </conditionalFormatting>
  <printOptions horizontalCentered="1"/>
  <pageMargins left="0.35" right="0.35" top="0.35" bottom="0.35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EA14-8BFC-4582-9168-613DA5398329}">
  <sheetPr codeName="Sheet1">
    <pageSetUpPr fitToPage="1"/>
  </sheetPr>
  <dimension ref="A1:N38"/>
  <sheetViews>
    <sheetView showGridLines="0" workbookViewId="0">
      <selection activeCell="U14" sqref="U14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22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18" t="s">
        <v>11</v>
      </c>
      <c r="F3" s="19" t="s">
        <v>11</v>
      </c>
      <c r="G3" s="4">
        <v>45658</v>
      </c>
      <c r="H3" s="46" t="s">
        <v>30</v>
      </c>
      <c r="I3" s="4">
        <v>45659</v>
      </c>
      <c r="J3" s="5" t="s">
        <v>31</v>
      </c>
      <c r="K3" s="4">
        <v>45660</v>
      </c>
      <c r="L3" s="5" t="s">
        <v>31</v>
      </c>
      <c r="M3" s="2">
        <v>45661</v>
      </c>
      <c r="N3" s="3" t="s">
        <v>11</v>
      </c>
    </row>
    <row r="4" spans="1:14" s="1" customFormat="1" ht="12.75" customHeight="1" x14ac:dyDescent="0.15">
      <c r="A4" s="68" t="s">
        <v>11</v>
      </c>
      <c r="B4" s="69"/>
      <c r="C4" s="68" t="s">
        <v>11</v>
      </c>
      <c r="D4" s="69"/>
      <c r="E4" s="68" t="s">
        <v>11</v>
      </c>
      <c r="F4" s="69"/>
      <c r="G4" s="81" t="s">
        <v>11</v>
      </c>
      <c r="H4" s="82"/>
      <c r="I4" s="81" t="s">
        <v>11</v>
      </c>
      <c r="J4" s="82"/>
      <c r="K4" s="81" t="s">
        <v>11</v>
      </c>
      <c r="L4" s="82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68" t="s">
        <v>11</v>
      </c>
      <c r="D5" s="69"/>
      <c r="E5" s="68" t="s">
        <v>11</v>
      </c>
      <c r="F5" s="69"/>
      <c r="G5" s="81" t="s">
        <v>11</v>
      </c>
      <c r="H5" s="82"/>
      <c r="I5" s="81" t="s">
        <v>11</v>
      </c>
      <c r="J5" s="82"/>
      <c r="K5" s="81" t="s">
        <v>11</v>
      </c>
      <c r="L5" s="82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68" t="s">
        <v>11</v>
      </c>
      <c r="D6" s="69"/>
      <c r="E6" s="68" t="s">
        <v>11</v>
      </c>
      <c r="F6" s="69"/>
      <c r="G6" s="81" t="s">
        <v>11</v>
      </c>
      <c r="H6" s="82"/>
      <c r="I6" s="81" t="s">
        <v>11</v>
      </c>
      <c r="J6" s="82"/>
      <c r="K6" s="81" t="s">
        <v>11</v>
      </c>
      <c r="L6" s="82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68" t="s">
        <v>11</v>
      </c>
      <c r="D7" s="69"/>
      <c r="E7" s="68" t="s">
        <v>11</v>
      </c>
      <c r="F7" s="69"/>
      <c r="G7" s="81" t="s">
        <v>11</v>
      </c>
      <c r="H7" s="82"/>
      <c r="I7" s="81" t="s">
        <v>11</v>
      </c>
      <c r="J7" s="82"/>
      <c r="K7" s="81" t="s">
        <v>11</v>
      </c>
      <c r="L7" s="82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0" t="s">
        <v>11</v>
      </c>
      <c r="D8" s="71"/>
      <c r="E8" s="70" t="s">
        <v>11</v>
      </c>
      <c r="F8" s="71"/>
      <c r="G8" s="74" t="s">
        <v>11</v>
      </c>
      <c r="H8" s="75"/>
      <c r="I8" s="74" t="s">
        <v>11</v>
      </c>
      <c r="J8" s="75"/>
      <c r="K8" s="74" t="s">
        <v>11</v>
      </c>
      <c r="L8" s="75"/>
      <c r="M8" s="72" t="s">
        <v>11</v>
      </c>
      <c r="N8" s="73"/>
    </row>
    <row r="9" spans="1:14" s="1" customFormat="1" ht="18" customHeight="1" x14ac:dyDescent="0.15">
      <c r="A9" s="2">
        <v>45662</v>
      </c>
      <c r="B9" s="3" t="s">
        <v>11</v>
      </c>
      <c r="C9" s="4">
        <v>45663</v>
      </c>
      <c r="D9" s="5" t="s">
        <v>31</v>
      </c>
      <c r="E9" s="4">
        <v>45664</v>
      </c>
      <c r="F9" s="5" t="s">
        <v>31</v>
      </c>
      <c r="G9" s="4">
        <v>45665</v>
      </c>
      <c r="H9" s="5" t="s">
        <v>31</v>
      </c>
      <c r="I9" s="4">
        <v>45666</v>
      </c>
      <c r="J9" s="5" t="s">
        <v>31</v>
      </c>
      <c r="K9" s="4">
        <v>45667</v>
      </c>
      <c r="L9" s="5" t="s">
        <v>31</v>
      </c>
      <c r="M9" s="2">
        <v>45668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45669</v>
      </c>
      <c r="B15" s="3" t="s">
        <v>11</v>
      </c>
      <c r="C15" s="4">
        <v>45670</v>
      </c>
      <c r="D15" s="5" t="s">
        <v>31</v>
      </c>
      <c r="E15" s="4">
        <v>45671</v>
      </c>
      <c r="F15" s="5" t="s">
        <v>31</v>
      </c>
      <c r="G15" s="4">
        <v>45672</v>
      </c>
      <c r="H15" s="5" t="s">
        <v>31</v>
      </c>
      <c r="I15" s="4">
        <v>45673</v>
      </c>
      <c r="J15" s="5" t="s">
        <v>31</v>
      </c>
      <c r="K15" s="4">
        <v>45674</v>
      </c>
      <c r="L15" s="5" t="s">
        <v>31</v>
      </c>
      <c r="M15" s="2">
        <v>45675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45676</v>
      </c>
      <c r="B21" s="3" t="s">
        <v>11</v>
      </c>
      <c r="C21" s="4">
        <v>45677</v>
      </c>
      <c r="D21" s="5" t="s">
        <v>31</v>
      </c>
      <c r="E21" s="4">
        <v>45678</v>
      </c>
      <c r="F21" s="5" t="s">
        <v>31</v>
      </c>
      <c r="G21" s="4">
        <v>45679</v>
      </c>
      <c r="H21" s="5" t="s">
        <v>31</v>
      </c>
      <c r="I21" s="4">
        <v>45680</v>
      </c>
      <c r="J21" s="5" t="s">
        <v>31</v>
      </c>
      <c r="K21" s="4">
        <v>45681</v>
      </c>
      <c r="L21" s="5" t="s">
        <v>31</v>
      </c>
      <c r="M21" s="2">
        <v>45682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45683</v>
      </c>
      <c r="B27" s="3" t="s">
        <v>11</v>
      </c>
      <c r="C27" s="4">
        <v>45684</v>
      </c>
      <c r="D27" s="5" t="s">
        <v>31</v>
      </c>
      <c r="E27" s="4">
        <v>45685</v>
      </c>
      <c r="F27" s="5" t="s">
        <v>31</v>
      </c>
      <c r="G27" s="4">
        <v>45686</v>
      </c>
      <c r="H27" s="46" t="s">
        <v>32</v>
      </c>
      <c r="I27" s="4">
        <v>45687</v>
      </c>
      <c r="J27" s="46" t="s">
        <v>32</v>
      </c>
      <c r="K27" s="4">
        <v>45688</v>
      </c>
      <c r="L27" s="5" t="s">
        <v>31</v>
      </c>
      <c r="M27" s="18" t="s">
        <v>11</v>
      </c>
      <c r="N27" s="19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81" t="s">
        <v>11</v>
      </c>
      <c r="J28" s="82"/>
      <c r="K28" s="81" t="s">
        <v>11</v>
      </c>
      <c r="L28" s="82"/>
      <c r="M28" s="68" t="s">
        <v>11</v>
      </c>
      <c r="N28" s="69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81" t="s">
        <v>11</v>
      </c>
      <c r="J29" s="82"/>
      <c r="K29" s="81" t="s">
        <v>11</v>
      </c>
      <c r="L29" s="82"/>
      <c r="M29" s="68" t="s">
        <v>11</v>
      </c>
      <c r="N29" s="69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81" t="s">
        <v>11</v>
      </c>
      <c r="J30" s="82"/>
      <c r="K30" s="81" t="s">
        <v>11</v>
      </c>
      <c r="L30" s="82"/>
      <c r="M30" s="68" t="s">
        <v>11</v>
      </c>
      <c r="N30" s="69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81" t="s">
        <v>11</v>
      </c>
      <c r="J31" s="82"/>
      <c r="K31" s="81" t="s">
        <v>11</v>
      </c>
      <c r="L31" s="82"/>
      <c r="M31" s="68" t="s">
        <v>11</v>
      </c>
      <c r="N31" s="69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4" t="s">
        <v>11</v>
      </c>
      <c r="J32" s="75"/>
      <c r="K32" s="74" t="s">
        <v>11</v>
      </c>
      <c r="L32" s="75"/>
      <c r="M32" s="70" t="s">
        <v>11</v>
      </c>
      <c r="N32" s="71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20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20</v>
      </c>
      <c r="N34" s="52" t="str">
        <f>"RM " &amp; TEXT(_xlfn.XLOOKUP(K34,DATABASE!$D$1:$D$6,DATABASE!$E$1:$E$6)*$M$34, "0.00")</f>
        <v>RM 6000.00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5000.00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4000.00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3000.00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1000.00</v>
      </c>
    </row>
  </sheetData>
  <mergeCells count="194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227A-5893-4666-AF08-472960B1CD87}">
  <sheetPr codeName="Sheet2">
    <pageSetUpPr fitToPage="1"/>
  </sheetPr>
  <dimension ref="A1:N38"/>
  <sheetViews>
    <sheetView showGridLines="0" topLeftCell="A9" workbookViewId="0">
      <selection activeCell="W15" sqref="W15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38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18" t="s">
        <v>11</v>
      </c>
      <c r="F3" s="19" t="s">
        <v>11</v>
      </c>
      <c r="G3" s="18" t="s">
        <v>11</v>
      </c>
      <c r="H3" s="19" t="s">
        <v>11</v>
      </c>
      <c r="I3" s="18" t="s">
        <v>11</v>
      </c>
      <c r="J3" s="19" t="s">
        <v>11</v>
      </c>
      <c r="K3" s="18" t="s">
        <v>11</v>
      </c>
      <c r="L3" s="19" t="s">
        <v>11</v>
      </c>
      <c r="M3" s="2">
        <v>45689</v>
      </c>
      <c r="N3" s="3" t="s">
        <v>11</v>
      </c>
    </row>
    <row r="4" spans="1:14" s="1" customFormat="1" ht="12.75" customHeight="1" x14ac:dyDescent="0.15">
      <c r="A4" s="68" t="s">
        <v>11</v>
      </c>
      <c r="B4" s="69"/>
      <c r="C4" s="68" t="s">
        <v>11</v>
      </c>
      <c r="D4" s="69"/>
      <c r="E4" s="68" t="s">
        <v>11</v>
      </c>
      <c r="F4" s="69"/>
      <c r="G4" s="68" t="s">
        <v>11</v>
      </c>
      <c r="H4" s="69"/>
      <c r="I4" s="68" t="s">
        <v>11</v>
      </c>
      <c r="J4" s="69"/>
      <c r="K4" s="68" t="s">
        <v>11</v>
      </c>
      <c r="L4" s="69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68" t="s">
        <v>11</v>
      </c>
      <c r="D5" s="69"/>
      <c r="E5" s="68" t="s">
        <v>11</v>
      </c>
      <c r="F5" s="69"/>
      <c r="G5" s="68" t="s">
        <v>11</v>
      </c>
      <c r="H5" s="69"/>
      <c r="I5" s="68" t="s">
        <v>11</v>
      </c>
      <c r="J5" s="69"/>
      <c r="K5" s="68" t="s">
        <v>11</v>
      </c>
      <c r="L5" s="69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68" t="s">
        <v>11</v>
      </c>
      <c r="D6" s="69"/>
      <c r="E6" s="68" t="s">
        <v>11</v>
      </c>
      <c r="F6" s="69"/>
      <c r="G6" s="68" t="s">
        <v>11</v>
      </c>
      <c r="H6" s="69"/>
      <c r="I6" s="68" t="s">
        <v>11</v>
      </c>
      <c r="J6" s="69"/>
      <c r="K6" s="68" t="s">
        <v>11</v>
      </c>
      <c r="L6" s="69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68" t="s">
        <v>11</v>
      </c>
      <c r="D7" s="69"/>
      <c r="E7" s="68" t="s">
        <v>11</v>
      </c>
      <c r="F7" s="69"/>
      <c r="G7" s="68" t="s">
        <v>11</v>
      </c>
      <c r="H7" s="69"/>
      <c r="I7" s="68" t="s">
        <v>11</v>
      </c>
      <c r="J7" s="69"/>
      <c r="K7" s="68" t="s">
        <v>11</v>
      </c>
      <c r="L7" s="69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0" t="s">
        <v>11</v>
      </c>
      <c r="D8" s="71"/>
      <c r="E8" s="70" t="s">
        <v>11</v>
      </c>
      <c r="F8" s="71"/>
      <c r="G8" s="70" t="s">
        <v>11</v>
      </c>
      <c r="H8" s="71"/>
      <c r="I8" s="70" t="s">
        <v>11</v>
      </c>
      <c r="J8" s="71"/>
      <c r="K8" s="70" t="s">
        <v>11</v>
      </c>
      <c r="L8" s="71"/>
      <c r="M8" s="72" t="s">
        <v>11</v>
      </c>
      <c r="N8" s="73"/>
    </row>
    <row r="9" spans="1:14" s="1" customFormat="1" ht="18" customHeight="1" x14ac:dyDescent="0.15">
      <c r="A9" s="2">
        <v>45690</v>
      </c>
      <c r="B9" s="3"/>
      <c r="C9" s="4">
        <v>45691</v>
      </c>
      <c r="D9" s="5" t="s">
        <v>31</v>
      </c>
      <c r="E9" s="4">
        <v>45692</v>
      </c>
      <c r="F9" s="5" t="s">
        <v>31</v>
      </c>
      <c r="G9" s="4">
        <v>45693</v>
      </c>
      <c r="H9" s="5" t="s">
        <v>31</v>
      </c>
      <c r="I9" s="4">
        <v>45694</v>
      </c>
      <c r="J9" s="5" t="s">
        <v>31</v>
      </c>
      <c r="K9" s="4">
        <v>45695</v>
      </c>
      <c r="L9" s="5" t="s">
        <v>31</v>
      </c>
      <c r="M9" s="2">
        <v>45696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45697</v>
      </c>
      <c r="B15" s="3" t="s">
        <v>11</v>
      </c>
      <c r="C15" s="4">
        <v>45698</v>
      </c>
      <c r="D15" s="5" t="s">
        <v>31</v>
      </c>
      <c r="E15" s="4">
        <v>45699</v>
      </c>
      <c r="F15" s="5" t="s">
        <v>31</v>
      </c>
      <c r="G15" s="4">
        <v>45700</v>
      </c>
      <c r="H15" s="5" t="s">
        <v>31</v>
      </c>
      <c r="I15" s="4">
        <v>45701</v>
      </c>
      <c r="J15" s="5" t="s">
        <v>31</v>
      </c>
      <c r="K15" s="4">
        <v>45702</v>
      </c>
      <c r="L15" s="5" t="s">
        <v>31</v>
      </c>
      <c r="M15" s="2">
        <v>45703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45704</v>
      </c>
      <c r="B21" s="3" t="s">
        <v>11</v>
      </c>
      <c r="C21" s="4">
        <v>45705</v>
      </c>
      <c r="D21" s="5" t="s">
        <v>31</v>
      </c>
      <c r="E21" s="4">
        <v>45706</v>
      </c>
      <c r="F21" s="5" t="s">
        <v>31</v>
      </c>
      <c r="G21" s="4">
        <v>45707</v>
      </c>
      <c r="H21" s="5" t="s">
        <v>31</v>
      </c>
      <c r="I21" s="4">
        <v>45708</v>
      </c>
      <c r="J21" s="5" t="s">
        <v>31</v>
      </c>
      <c r="K21" s="4">
        <v>45709</v>
      </c>
      <c r="L21" s="5" t="s">
        <v>31</v>
      </c>
      <c r="M21" s="2">
        <v>45710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45711</v>
      </c>
      <c r="B27" s="3" t="s">
        <v>11</v>
      </c>
      <c r="C27" s="4">
        <v>45712</v>
      </c>
      <c r="D27" s="5" t="s">
        <v>31</v>
      </c>
      <c r="E27" s="4">
        <v>45713</v>
      </c>
      <c r="F27" s="5" t="s">
        <v>31</v>
      </c>
      <c r="G27" s="4">
        <v>45714</v>
      </c>
      <c r="H27" s="5" t="s">
        <v>31</v>
      </c>
      <c r="I27" s="4">
        <v>45715</v>
      </c>
      <c r="J27" s="5" t="s">
        <v>31</v>
      </c>
      <c r="K27" s="4">
        <v>45716</v>
      </c>
      <c r="L27" s="5" t="s">
        <v>31</v>
      </c>
      <c r="M27" s="18" t="s">
        <v>11</v>
      </c>
      <c r="N27" s="19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81" t="s">
        <v>11</v>
      </c>
      <c r="J28" s="82"/>
      <c r="K28" s="81" t="s">
        <v>11</v>
      </c>
      <c r="L28" s="82"/>
      <c r="M28" s="68" t="s">
        <v>11</v>
      </c>
      <c r="N28" s="69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81" t="s">
        <v>11</v>
      </c>
      <c r="J29" s="82"/>
      <c r="K29" s="81" t="s">
        <v>11</v>
      </c>
      <c r="L29" s="82"/>
      <c r="M29" s="68" t="s">
        <v>11</v>
      </c>
      <c r="N29" s="69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81" t="s">
        <v>11</v>
      </c>
      <c r="J30" s="82"/>
      <c r="K30" s="81" t="s">
        <v>11</v>
      </c>
      <c r="L30" s="82"/>
      <c r="M30" s="68" t="s">
        <v>11</v>
      </c>
      <c r="N30" s="69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81" t="s">
        <v>11</v>
      </c>
      <c r="J31" s="82"/>
      <c r="K31" s="81" t="s">
        <v>11</v>
      </c>
      <c r="L31" s="82"/>
      <c r="M31" s="68" t="s">
        <v>11</v>
      </c>
      <c r="N31" s="69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4" t="s">
        <v>11</v>
      </c>
      <c r="J32" s="75"/>
      <c r="K32" s="74" t="s">
        <v>11</v>
      </c>
      <c r="L32" s="75"/>
      <c r="M32" s="70" t="s">
        <v>11</v>
      </c>
      <c r="N32" s="71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20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20</v>
      </c>
      <c r="N34" s="52" t="str">
        <f>"RM " &amp; TEXT(_xlfn.XLOOKUP(K34,DATABASE!$D$1:$D$6,DATABASE!$E$1:$E$6)*$M$34, "0.00")</f>
        <v>RM 6000.00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5000.00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4000.00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3000.00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1000.00</v>
      </c>
    </row>
  </sheetData>
  <mergeCells count="194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31DD-FA26-4E3F-B244-61BB3C14D82A}">
  <sheetPr codeName="Sheet3">
    <pageSetUpPr fitToPage="1"/>
  </sheetPr>
  <dimension ref="A1:N38"/>
  <sheetViews>
    <sheetView showGridLines="0" topLeftCell="A5" workbookViewId="0">
      <selection activeCell="D33" sqref="D33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39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18" t="s">
        <v>11</v>
      </c>
      <c r="F3" s="19" t="s">
        <v>11</v>
      </c>
      <c r="G3" s="18" t="s">
        <v>11</v>
      </c>
      <c r="H3" s="19" t="s">
        <v>11</v>
      </c>
      <c r="I3" s="18" t="s">
        <v>11</v>
      </c>
      <c r="J3" s="19" t="s">
        <v>11</v>
      </c>
      <c r="K3" s="18" t="s">
        <v>11</v>
      </c>
      <c r="L3" s="19" t="s">
        <v>11</v>
      </c>
      <c r="M3" s="2">
        <v>45717</v>
      </c>
      <c r="N3" s="3"/>
    </row>
    <row r="4" spans="1:14" s="1" customFormat="1" ht="12.75" customHeight="1" x14ac:dyDescent="0.15">
      <c r="A4" s="68" t="s">
        <v>11</v>
      </c>
      <c r="B4" s="69"/>
      <c r="C4" s="68" t="s">
        <v>11</v>
      </c>
      <c r="D4" s="69"/>
      <c r="E4" s="68" t="s">
        <v>11</v>
      </c>
      <c r="F4" s="69"/>
      <c r="G4" s="68" t="s">
        <v>11</v>
      </c>
      <c r="H4" s="69"/>
      <c r="I4" s="68" t="s">
        <v>11</v>
      </c>
      <c r="J4" s="69"/>
      <c r="K4" s="68" t="s">
        <v>11</v>
      </c>
      <c r="L4" s="69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68" t="s">
        <v>11</v>
      </c>
      <c r="D5" s="69"/>
      <c r="E5" s="68" t="s">
        <v>11</v>
      </c>
      <c r="F5" s="69"/>
      <c r="G5" s="68" t="s">
        <v>11</v>
      </c>
      <c r="H5" s="69"/>
      <c r="I5" s="68" t="s">
        <v>11</v>
      </c>
      <c r="J5" s="69"/>
      <c r="K5" s="68" t="s">
        <v>11</v>
      </c>
      <c r="L5" s="69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68" t="s">
        <v>11</v>
      </c>
      <c r="D6" s="69"/>
      <c r="E6" s="68" t="s">
        <v>11</v>
      </c>
      <c r="F6" s="69"/>
      <c r="G6" s="68" t="s">
        <v>11</v>
      </c>
      <c r="H6" s="69"/>
      <c r="I6" s="68" t="s">
        <v>11</v>
      </c>
      <c r="J6" s="69"/>
      <c r="K6" s="68" t="s">
        <v>11</v>
      </c>
      <c r="L6" s="69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68" t="s">
        <v>11</v>
      </c>
      <c r="D7" s="69"/>
      <c r="E7" s="68" t="s">
        <v>11</v>
      </c>
      <c r="F7" s="69"/>
      <c r="G7" s="68" t="s">
        <v>11</v>
      </c>
      <c r="H7" s="69"/>
      <c r="I7" s="68" t="s">
        <v>11</v>
      </c>
      <c r="J7" s="69"/>
      <c r="K7" s="68" t="s">
        <v>11</v>
      </c>
      <c r="L7" s="69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0" t="s">
        <v>11</v>
      </c>
      <c r="D8" s="71"/>
      <c r="E8" s="70" t="s">
        <v>11</v>
      </c>
      <c r="F8" s="71"/>
      <c r="G8" s="70" t="s">
        <v>11</v>
      </c>
      <c r="H8" s="71"/>
      <c r="I8" s="70" t="s">
        <v>11</v>
      </c>
      <c r="J8" s="71"/>
      <c r="K8" s="70" t="s">
        <v>11</v>
      </c>
      <c r="L8" s="71"/>
      <c r="M8" s="72" t="s">
        <v>11</v>
      </c>
      <c r="N8" s="73"/>
    </row>
    <row r="9" spans="1:14" s="1" customFormat="1" ht="18" customHeight="1" x14ac:dyDescent="0.15">
      <c r="A9" s="2">
        <v>45718</v>
      </c>
      <c r="B9" s="3" t="s">
        <v>11</v>
      </c>
      <c r="C9" s="4">
        <v>45719</v>
      </c>
      <c r="D9" s="5" t="s">
        <v>31</v>
      </c>
      <c r="E9" s="4">
        <v>45720</v>
      </c>
      <c r="F9" s="5" t="s">
        <v>31</v>
      </c>
      <c r="G9" s="4">
        <v>45721</v>
      </c>
      <c r="H9" s="5" t="s">
        <v>31</v>
      </c>
      <c r="I9" s="4">
        <v>45722</v>
      </c>
      <c r="J9" s="5" t="s">
        <v>31</v>
      </c>
      <c r="K9" s="4">
        <v>45723</v>
      </c>
      <c r="L9" s="5" t="s">
        <v>31</v>
      </c>
      <c r="M9" s="2">
        <v>45724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45725</v>
      </c>
      <c r="B15" s="3"/>
      <c r="C15" s="4">
        <v>45726</v>
      </c>
      <c r="D15" s="5" t="s">
        <v>31</v>
      </c>
      <c r="E15" s="4">
        <v>45727</v>
      </c>
      <c r="F15" s="5" t="s">
        <v>31</v>
      </c>
      <c r="G15" s="4">
        <v>45728</v>
      </c>
      <c r="H15" s="5" t="s">
        <v>31</v>
      </c>
      <c r="I15" s="4">
        <v>45729</v>
      </c>
      <c r="J15" s="5" t="s">
        <v>31</v>
      </c>
      <c r="K15" s="4">
        <v>45730</v>
      </c>
      <c r="L15" s="5" t="s">
        <v>31</v>
      </c>
      <c r="M15" s="2">
        <v>45731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45732</v>
      </c>
      <c r="B21" s="3" t="s">
        <v>11</v>
      </c>
      <c r="C21" s="4">
        <v>45733</v>
      </c>
      <c r="D21" s="5" t="s">
        <v>31</v>
      </c>
      <c r="E21" s="4">
        <v>45734</v>
      </c>
      <c r="F21" s="5" t="s">
        <v>31</v>
      </c>
      <c r="G21" s="4">
        <v>45735</v>
      </c>
      <c r="H21" s="5" t="s">
        <v>31</v>
      </c>
      <c r="I21" s="4">
        <v>45736</v>
      </c>
      <c r="J21" s="5" t="s">
        <v>31</v>
      </c>
      <c r="K21" s="4">
        <v>45737</v>
      </c>
      <c r="L21" s="5" t="s">
        <v>31</v>
      </c>
      <c r="M21" s="2">
        <v>45738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45739</v>
      </c>
      <c r="B27" s="3" t="s">
        <v>11</v>
      </c>
      <c r="C27" s="4">
        <v>45740</v>
      </c>
      <c r="D27" s="5" t="s">
        <v>31</v>
      </c>
      <c r="E27" s="4">
        <v>45741</v>
      </c>
      <c r="F27" s="5" t="s">
        <v>31</v>
      </c>
      <c r="G27" s="4">
        <v>45742</v>
      </c>
      <c r="H27" s="5" t="s">
        <v>31</v>
      </c>
      <c r="I27" s="4">
        <v>45743</v>
      </c>
      <c r="J27" s="5" t="s">
        <v>31</v>
      </c>
      <c r="K27" s="4">
        <v>45744</v>
      </c>
      <c r="L27" s="5" t="s">
        <v>31</v>
      </c>
      <c r="M27" s="2">
        <v>45745</v>
      </c>
      <c r="N27" s="3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81" t="s">
        <v>11</v>
      </c>
      <c r="J28" s="82"/>
      <c r="K28" s="81" t="s">
        <v>11</v>
      </c>
      <c r="L28" s="82"/>
      <c r="M28" s="79" t="s">
        <v>11</v>
      </c>
      <c r="N28" s="80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81" t="s">
        <v>11</v>
      </c>
      <c r="J29" s="82"/>
      <c r="K29" s="81" t="s">
        <v>11</v>
      </c>
      <c r="L29" s="82"/>
      <c r="M29" s="79" t="s">
        <v>11</v>
      </c>
      <c r="N29" s="80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81" t="s">
        <v>11</v>
      </c>
      <c r="J30" s="82"/>
      <c r="K30" s="81" t="s">
        <v>11</v>
      </c>
      <c r="L30" s="82"/>
      <c r="M30" s="79" t="s">
        <v>11</v>
      </c>
      <c r="N30" s="80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81" t="s">
        <v>11</v>
      </c>
      <c r="J31" s="82"/>
      <c r="K31" s="81" t="s">
        <v>11</v>
      </c>
      <c r="L31" s="82"/>
      <c r="M31" s="79" t="s">
        <v>11</v>
      </c>
      <c r="N31" s="80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4" t="s">
        <v>11</v>
      </c>
      <c r="J32" s="75"/>
      <c r="K32" s="74" t="s">
        <v>11</v>
      </c>
      <c r="L32" s="75"/>
      <c r="M32" s="72" t="s">
        <v>11</v>
      </c>
      <c r="N32" s="73"/>
    </row>
    <row r="33" spans="1:14" ht="18" customHeight="1" x14ac:dyDescent="0.15">
      <c r="A33" s="2">
        <v>45746</v>
      </c>
      <c r="B33" s="3" t="s">
        <v>11</v>
      </c>
      <c r="C33" s="4">
        <v>45747</v>
      </c>
      <c r="D33" s="46" t="s">
        <v>40</v>
      </c>
      <c r="E33" s="7"/>
      <c r="F33" s="8"/>
      <c r="G33" s="8"/>
      <c r="H33" s="8"/>
      <c r="I33" s="8"/>
      <c r="J33" s="9"/>
      <c r="K33" s="76" t="str">
        <f>COUNTIF(A3:N32, "*WD*") &amp; " Working Days"</f>
        <v>20 Working Days</v>
      </c>
      <c r="L33" s="77"/>
      <c r="M33" s="77"/>
      <c r="N33" s="78"/>
    </row>
    <row r="34" spans="1:14" ht="12.75" customHeight="1" x14ac:dyDescent="0.15">
      <c r="A34" s="79" t="s">
        <v>11</v>
      </c>
      <c r="B34" s="80"/>
      <c r="C34" s="81" t="s">
        <v>11</v>
      </c>
      <c r="D34" s="82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20</v>
      </c>
      <c r="N34" s="52" t="str">
        <f>"RM " &amp; TEXT(_xlfn.XLOOKUP(K34,DATABASE!$D$1:$D$6,DATABASE!$E$1:$E$6)*$M$34, "0.00")</f>
        <v>RM 6000.00</v>
      </c>
    </row>
    <row r="35" spans="1:14" ht="12.75" customHeight="1" x14ac:dyDescent="0.15">
      <c r="A35" s="79" t="s">
        <v>11</v>
      </c>
      <c r="B35" s="80"/>
      <c r="C35" s="81" t="s">
        <v>11</v>
      </c>
      <c r="D35" s="82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5000.00</v>
      </c>
    </row>
    <row r="36" spans="1:14" ht="12.75" customHeight="1" x14ac:dyDescent="0.15">
      <c r="A36" s="79" t="s">
        <v>11</v>
      </c>
      <c r="B36" s="80"/>
      <c r="C36" s="81" t="s">
        <v>11</v>
      </c>
      <c r="D36" s="82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4000.00</v>
      </c>
    </row>
    <row r="37" spans="1:14" ht="12.75" customHeight="1" x14ac:dyDescent="0.15">
      <c r="A37" s="79" t="s">
        <v>11</v>
      </c>
      <c r="B37" s="80"/>
      <c r="C37" s="81" t="s">
        <v>11</v>
      </c>
      <c r="D37" s="82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3000.00</v>
      </c>
    </row>
    <row r="38" spans="1:14" ht="12.75" customHeight="1" x14ac:dyDescent="0.15">
      <c r="A38" s="72" t="s">
        <v>11</v>
      </c>
      <c r="B38" s="73"/>
      <c r="C38" s="74" t="s">
        <v>11</v>
      </c>
      <c r="D38" s="75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1000.00</v>
      </c>
    </row>
  </sheetData>
  <mergeCells count="194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6B68-A3A1-4B10-ABC3-646B893BACFA}">
  <sheetPr codeName="Sheet4">
    <pageSetUpPr fitToPage="1"/>
  </sheetPr>
  <dimension ref="A1:N39"/>
  <sheetViews>
    <sheetView showGridLines="0" topLeftCell="A3" workbookViewId="0">
      <selection activeCell="U7" sqref="U7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41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4">
        <v>45748</v>
      </c>
      <c r="F3" s="46" t="s">
        <v>40</v>
      </c>
      <c r="G3" s="4">
        <v>45749</v>
      </c>
      <c r="H3" s="46" t="s">
        <v>42</v>
      </c>
      <c r="I3" s="4">
        <v>45750</v>
      </c>
      <c r="J3" s="5" t="s">
        <v>31</v>
      </c>
      <c r="K3" s="4">
        <v>45751</v>
      </c>
      <c r="L3" s="5" t="s">
        <v>31</v>
      </c>
      <c r="M3" s="2">
        <v>45752</v>
      </c>
      <c r="N3" s="3" t="s">
        <v>11</v>
      </c>
    </row>
    <row r="4" spans="1:14" s="1" customFormat="1" ht="12.75" customHeight="1" x14ac:dyDescent="0.15">
      <c r="A4" s="68" t="s">
        <v>11</v>
      </c>
      <c r="B4" s="69"/>
      <c r="C4" s="68" t="s">
        <v>11</v>
      </c>
      <c r="D4" s="69"/>
      <c r="E4" s="81" t="s">
        <v>11</v>
      </c>
      <c r="F4" s="82"/>
      <c r="G4" s="57" t="s">
        <v>11</v>
      </c>
      <c r="H4" s="62"/>
      <c r="I4" s="81" t="s">
        <v>11</v>
      </c>
      <c r="J4" s="82"/>
      <c r="K4" s="81" t="s">
        <v>11</v>
      </c>
      <c r="L4" s="82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68" t="s">
        <v>11</v>
      </c>
      <c r="D5" s="69"/>
      <c r="E5" s="81" t="s">
        <v>11</v>
      </c>
      <c r="F5" s="82"/>
      <c r="G5" s="81" t="s">
        <v>11</v>
      </c>
      <c r="H5" s="82"/>
      <c r="I5" s="81" t="s">
        <v>11</v>
      </c>
      <c r="J5" s="82"/>
      <c r="K5" s="81" t="s">
        <v>11</v>
      </c>
      <c r="L5" s="82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68" t="s">
        <v>11</v>
      </c>
      <c r="D6" s="69"/>
      <c r="E6" s="81" t="s">
        <v>11</v>
      </c>
      <c r="F6" s="82"/>
      <c r="G6" s="81" t="s">
        <v>11</v>
      </c>
      <c r="H6" s="82"/>
      <c r="I6" s="81" t="s">
        <v>11</v>
      </c>
      <c r="J6" s="82"/>
      <c r="K6" s="81" t="s">
        <v>11</v>
      </c>
      <c r="L6" s="82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68" t="s">
        <v>11</v>
      </c>
      <c r="D7" s="69"/>
      <c r="E7" s="81" t="s">
        <v>11</v>
      </c>
      <c r="F7" s="82"/>
      <c r="G7" s="81" t="s">
        <v>11</v>
      </c>
      <c r="H7" s="82"/>
      <c r="I7" s="81" t="s">
        <v>11</v>
      </c>
      <c r="J7" s="82"/>
      <c r="K7" s="81" t="s">
        <v>11</v>
      </c>
      <c r="L7" s="82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0" t="s">
        <v>11</v>
      </c>
      <c r="D8" s="71"/>
      <c r="E8" s="74" t="s">
        <v>11</v>
      </c>
      <c r="F8" s="75"/>
      <c r="G8" s="74" t="s">
        <v>11</v>
      </c>
      <c r="H8" s="75"/>
      <c r="I8" s="74" t="s">
        <v>11</v>
      </c>
      <c r="J8" s="75"/>
      <c r="K8" s="74" t="s">
        <v>11</v>
      </c>
      <c r="L8" s="75"/>
      <c r="M8" s="72" t="s">
        <v>11</v>
      </c>
      <c r="N8" s="73"/>
    </row>
    <row r="9" spans="1:14" s="1" customFormat="1" ht="18" customHeight="1" x14ac:dyDescent="0.15">
      <c r="A9" s="2">
        <v>45753</v>
      </c>
      <c r="B9" s="3" t="s">
        <v>11</v>
      </c>
      <c r="C9" s="4">
        <v>45754</v>
      </c>
      <c r="D9" s="5" t="s">
        <v>31</v>
      </c>
      <c r="E9" s="4">
        <v>45755</v>
      </c>
      <c r="F9" s="5" t="s">
        <v>31</v>
      </c>
      <c r="G9" s="4">
        <v>45756</v>
      </c>
      <c r="H9" s="5" t="s">
        <v>31</v>
      </c>
      <c r="I9" s="4">
        <v>45757</v>
      </c>
      <c r="J9" s="5" t="s">
        <v>31</v>
      </c>
      <c r="K9" s="4">
        <v>45758</v>
      </c>
      <c r="L9" s="5" t="s">
        <v>31</v>
      </c>
      <c r="M9" s="2">
        <v>45759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45760</v>
      </c>
      <c r="B15" s="3"/>
      <c r="C15" s="4">
        <v>45761</v>
      </c>
      <c r="D15" s="5" t="s">
        <v>31</v>
      </c>
      <c r="E15" s="4">
        <v>45762</v>
      </c>
      <c r="F15" s="5" t="s">
        <v>31</v>
      </c>
      <c r="G15" s="4">
        <v>45763</v>
      </c>
      <c r="H15" s="5" t="s">
        <v>31</v>
      </c>
      <c r="I15" s="4">
        <v>45764</v>
      </c>
      <c r="J15" s="5" t="s">
        <v>31</v>
      </c>
      <c r="K15" s="4">
        <v>45765</v>
      </c>
      <c r="L15" s="46" t="s">
        <v>43</v>
      </c>
      <c r="M15" s="2">
        <v>45766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45767</v>
      </c>
      <c r="B21" s="3"/>
      <c r="C21" s="4">
        <v>45768</v>
      </c>
      <c r="D21" s="5" t="s">
        <v>31</v>
      </c>
      <c r="E21" s="4">
        <v>45769</v>
      </c>
      <c r="F21" s="5" t="s">
        <v>31</v>
      </c>
      <c r="G21" s="4">
        <v>45770</v>
      </c>
      <c r="H21" s="5" t="s">
        <v>31</v>
      </c>
      <c r="I21" s="4">
        <v>45771</v>
      </c>
      <c r="J21" s="5" t="s">
        <v>31</v>
      </c>
      <c r="K21" s="4">
        <v>45772</v>
      </c>
      <c r="L21" s="5" t="s">
        <v>31</v>
      </c>
      <c r="M21" s="2">
        <v>45773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45774</v>
      </c>
      <c r="B27" s="3" t="s">
        <v>11</v>
      </c>
      <c r="C27" s="4">
        <v>45775</v>
      </c>
      <c r="D27" s="5" t="s">
        <v>31</v>
      </c>
      <c r="E27" s="4">
        <v>45776</v>
      </c>
      <c r="F27" s="5" t="s">
        <v>31</v>
      </c>
      <c r="G27" s="4">
        <v>45777</v>
      </c>
      <c r="H27" s="5" t="s">
        <v>31</v>
      </c>
      <c r="I27" s="18" t="s">
        <v>11</v>
      </c>
      <c r="J27" s="19" t="s">
        <v>11</v>
      </c>
      <c r="K27" s="18" t="s">
        <v>11</v>
      </c>
      <c r="L27" s="19" t="s">
        <v>11</v>
      </c>
      <c r="M27" s="18" t="s">
        <v>11</v>
      </c>
      <c r="N27" s="19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68" t="s">
        <v>11</v>
      </c>
      <c r="J28" s="69"/>
      <c r="K28" s="68" t="s">
        <v>11</v>
      </c>
      <c r="L28" s="69"/>
      <c r="M28" s="68" t="s">
        <v>11</v>
      </c>
      <c r="N28" s="69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68" t="s">
        <v>11</v>
      </c>
      <c r="J29" s="69"/>
      <c r="K29" s="68" t="s">
        <v>11</v>
      </c>
      <c r="L29" s="69"/>
      <c r="M29" s="68" t="s">
        <v>11</v>
      </c>
      <c r="N29" s="69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68" t="s">
        <v>11</v>
      </c>
      <c r="J30" s="69"/>
      <c r="K30" s="68" t="s">
        <v>11</v>
      </c>
      <c r="L30" s="69"/>
      <c r="M30" s="68" t="s">
        <v>11</v>
      </c>
      <c r="N30" s="69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68" t="s">
        <v>11</v>
      </c>
      <c r="J31" s="69"/>
      <c r="K31" s="68" t="s">
        <v>11</v>
      </c>
      <c r="L31" s="69"/>
      <c r="M31" s="68" t="s">
        <v>11</v>
      </c>
      <c r="N31" s="69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0" t="s">
        <v>11</v>
      </c>
      <c r="J32" s="71"/>
      <c r="K32" s="70" t="s">
        <v>11</v>
      </c>
      <c r="L32" s="71"/>
      <c r="M32" s="70" t="s">
        <v>11</v>
      </c>
      <c r="N32" s="71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19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19</v>
      </c>
      <c r="N34" s="52" t="str">
        <f>"RM " &amp; TEXT(_xlfn.XLOOKUP(K34,DATABASE!$D$1:$D$6,DATABASE!$E$1:$E$6)*$M$34, "0.00")</f>
        <v>RM 5700.00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4750.00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3800.00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2850.00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N38" s="52" t="str">
        <f>"RM " &amp; TEXT(_xlfn.XLOOKUP(K38,DATABASE!$D$1:$D$6,DATABASE!$E$1:$E$6)*$M$34, "0.00")</f>
        <v>RM 950.00</v>
      </c>
    </row>
    <row r="39" spans="1:14" x14ac:dyDescent="0.15">
      <c r="M39" s="22"/>
      <c r="N39" s="22"/>
    </row>
  </sheetData>
  <mergeCells count="193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AB59-E49B-45A3-8C2C-5AE59D93A724}">
  <sheetPr codeName="Sheet5">
    <pageSetUpPr fitToPage="1"/>
  </sheetPr>
  <dimension ref="A1:AA38"/>
  <sheetViews>
    <sheetView showGridLines="0" topLeftCell="A3" workbookViewId="0">
      <selection activeCell="S15" sqref="S15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27" s="1" customFormat="1" ht="61.5" customHeight="1" x14ac:dyDescent="0.15">
      <c r="A1" s="83" t="s">
        <v>44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AA1" s="47"/>
    </row>
    <row r="2" spans="1:27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  <c r="AA2" s="47"/>
    </row>
    <row r="3" spans="1:27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18" t="s">
        <v>11</v>
      </c>
      <c r="F3" s="19" t="s">
        <v>11</v>
      </c>
      <c r="G3" s="18" t="s">
        <v>11</v>
      </c>
      <c r="H3" s="19" t="s">
        <v>11</v>
      </c>
      <c r="I3" s="4">
        <v>45778</v>
      </c>
      <c r="J3" s="46" t="s">
        <v>45</v>
      </c>
      <c r="K3" s="4">
        <v>45779</v>
      </c>
      <c r="L3" s="5" t="s">
        <v>31</v>
      </c>
      <c r="M3" s="2">
        <v>45780</v>
      </c>
      <c r="N3" s="3" t="s">
        <v>11</v>
      </c>
      <c r="AA3" s="47"/>
    </row>
    <row r="4" spans="1:27" s="1" customFormat="1" ht="12.75" customHeight="1" x14ac:dyDescent="0.15">
      <c r="A4" s="68" t="s">
        <v>11</v>
      </c>
      <c r="B4" s="69"/>
      <c r="C4" s="68" t="s">
        <v>11</v>
      </c>
      <c r="D4" s="69"/>
      <c r="E4" s="68" t="s">
        <v>11</v>
      </c>
      <c r="F4" s="69"/>
      <c r="G4" s="68" t="s">
        <v>11</v>
      </c>
      <c r="H4" s="69"/>
      <c r="I4" s="81" t="s">
        <v>11</v>
      </c>
      <c r="J4" s="82"/>
      <c r="K4" s="81" t="s">
        <v>11</v>
      </c>
      <c r="L4" s="82"/>
      <c r="M4" s="79" t="s">
        <v>11</v>
      </c>
      <c r="N4" s="80"/>
      <c r="AA4" s="47"/>
    </row>
    <row r="5" spans="1:27" s="1" customFormat="1" ht="12.75" customHeight="1" x14ac:dyDescent="0.15">
      <c r="A5" s="68" t="s">
        <v>11</v>
      </c>
      <c r="B5" s="69"/>
      <c r="C5" s="68" t="s">
        <v>11</v>
      </c>
      <c r="D5" s="69"/>
      <c r="E5" s="68" t="s">
        <v>11</v>
      </c>
      <c r="F5" s="69"/>
      <c r="G5" s="68" t="s">
        <v>11</v>
      </c>
      <c r="H5" s="69"/>
      <c r="I5" s="81" t="s">
        <v>11</v>
      </c>
      <c r="J5" s="82"/>
      <c r="K5" s="81" t="s">
        <v>11</v>
      </c>
      <c r="L5" s="82"/>
      <c r="M5" s="79" t="s">
        <v>11</v>
      </c>
      <c r="N5" s="80"/>
      <c r="AA5" s="47"/>
    </row>
    <row r="6" spans="1:27" s="1" customFormat="1" ht="12.75" customHeight="1" x14ac:dyDescent="0.15">
      <c r="A6" s="68" t="s">
        <v>11</v>
      </c>
      <c r="B6" s="69"/>
      <c r="C6" s="68" t="s">
        <v>11</v>
      </c>
      <c r="D6" s="69"/>
      <c r="E6" s="68" t="s">
        <v>11</v>
      </c>
      <c r="F6" s="69"/>
      <c r="G6" s="68" t="s">
        <v>11</v>
      </c>
      <c r="H6" s="69"/>
      <c r="I6" s="81" t="s">
        <v>11</v>
      </c>
      <c r="J6" s="82"/>
      <c r="K6" s="81" t="s">
        <v>11</v>
      </c>
      <c r="L6" s="82"/>
      <c r="M6" s="79" t="s">
        <v>11</v>
      </c>
      <c r="N6" s="80"/>
      <c r="AA6" s="47"/>
    </row>
    <row r="7" spans="1:27" s="1" customFormat="1" ht="12.75" customHeight="1" x14ac:dyDescent="0.15">
      <c r="A7" s="68" t="s">
        <v>11</v>
      </c>
      <c r="B7" s="69"/>
      <c r="C7" s="68" t="s">
        <v>11</v>
      </c>
      <c r="D7" s="69"/>
      <c r="E7" s="68" t="s">
        <v>11</v>
      </c>
      <c r="F7" s="69"/>
      <c r="G7" s="68" t="s">
        <v>11</v>
      </c>
      <c r="H7" s="69"/>
      <c r="I7" s="81" t="s">
        <v>11</v>
      </c>
      <c r="J7" s="82"/>
      <c r="K7" s="81" t="s">
        <v>11</v>
      </c>
      <c r="L7" s="82"/>
      <c r="M7" s="79" t="s">
        <v>11</v>
      </c>
      <c r="N7" s="80"/>
      <c r="AA7" s="47"/>
    </row>
    <row r="8" spans="1:27" s="6" customFormat="1" ht="12.75" customHeight="1" x14ac:dyDescent="0.15">
      <c r="A8" s="70" t="s">
        <v>11</v>
      </c>
      <c r="B8" s="71"/>
      <c r="C8" s="70" t="s">
        <v>11</v>
      </c>
      <c r="D8" s="71"/>
      <c r="E8" s="70" t="s">
        <v>11</v>
      </c>
      <c r="F8" s="71"/>
      <c r="G8" s="70" t="s">
        <v>11</v>
      </c>
      <c r="H8" s="71"/>
      <c r="I8" s="74" t="s">
        <v>11</v>
      </c>
      <c r="J8" s="75"/>
      <c r="K8" s="74" t="s">
        <v>11</v>
      </c>
      <c r="L8" s="75"/>
      <c r="M8" s="72" t="s">
        <v>11</v>
      </c>
      <c r="N8" s="73"/>
      <c r="AA8" s="47"/>
    </row>
    <row r="9" spans="1:27" s="1" customFormat="1" ht="18" customHeight="1" x14ac:dyDescent="0.15">
      <c r="A9" s="2">
        <v>45781</v>
      </c>
      <c r="B9" s="3" t="s">
        <v>11</v>
      </c>
      <c r="C9" s="4">
        <v>45782</v>
      </c>
      <c r="D9" s="5" t="s">
        <v>31</v>
      </c>
      <c r="E9" s="4">
        <v>45783</v>
      </c>
      <c r="F9" s="5" t="s">
        <v>31</v>
      </c>
      <c r="G9" s="4">
        <v>45784</v>
      </c>
      <c r="H9" s="5" t="s">
        <v>31</v>
      </c>
      <c r="I9" s="4">
        <v>45785</v>
      </c>
      <c r="J9" s="5" t="s">
        <v>31</v>
      </c>
      <c r="K9" s="4">
        <v>45786</v>
      </c>
      <c r="L9" s="5" t="s">
        <v>31</v>
      </c>
      <c r="M9" s="2">
        <v>45787</v>
      </c>
      <c r="N9" s="3" t="s">
        <v>11</v>
      </c>
      <c r="AA9" s="47"/>
    </row>
    <row r="10" spans="1:27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  <c r="AA10" s="47"/>
    </row>
    <row r="11" spans="1:27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  <c r="AA11" s="47"/>
    </row>
    <row r="12" spans="1:27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  <c r="AA12" s="47"/>
    </row>
    <row r="13" spans="1:27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  <c r="AA13" s="47"/>
    </row>
    <row r="14" spans="1:27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  <c r="AA14" s="47"/>
    </row>
    <row r="15" spans="1:27" s="1" customFormat="1" ht="18" customHeight="1" x14ac:dyDescent="0.15">
      <c r="A15" s="2">
        <v>45788</v>
      </c>
      <c r="B15" s="3"/>
      <c r="C15" s="4">
        <v>45789</v>
      </c>
      <c r="D15" s="46" t="s">
        <v>46</v>
      </c>
      <c r="E15" s="4">
        <v>45790</v>
      </c>
      <c r="F15" s="5" t="s">
        <v>31</v>
      </c>
      <c r="G15" s="4">
        <v>45791</v>
      </c>
      <c r="H15" s="5" t="s">
        <v>31</v>
      </c>
      <c r="I15" s="4">
        <v>45792</v>
      </c>
      <c r="J15" s="5" t="s">
        <v>31</v>
      </c>
      <c r="K15" s="4">
        <v>45793</v>
      </c>
      <c r="L15" s="5" t="s">
        <v>31</v>
      </c>
      <c r="M15" s="2">
        <v>45794</v>
      </c>
      <c r="N15" s="3" t="s">
        <v>11</v>
      </c>
      <c r="AA15" s="47"/>
    </row>
    <row r="16" spans="1:27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  <c r="AA16" s="47"/>
    </row>
    <row r="17" spans="1:27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  <c r="AA17" s="47"/>
    </row>
    <row r="18" spans="1:27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  <c r="AA18" s="47"/>
    </row>
    <row r="19" spans="1:27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  <c r="AA19" s="47"/>
    </row>
    <row r="20" spans="1:27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  <c r="AA20" s="47"/>
    </row>
    <row r="21" spans="1:27" s="1" customFormat="1" ht="18" customHeight="1" x14ac:dyDescent="0.15">
      <c r="A21" s="2">
        <v>45795</v>
      </c>
      <c r="B21" s="3" t="s">
        <v>11</v>
      </c>
      <c r="C21" s="4">
        <v>45796</v>
      </c>
      <c r="D21" s="5" t="s">
        <v>31</v>
      </c>
      <c r="E21" s="4">
        <v>45797</v>
      </c>
      <c r="F21" s="5" t="s">
        <v>31</v>
      </c>
      <c r="G21" s="4">
        <v>45798</v>
      </c>
      <c r="H21" s="5" t="s">
        <v>31</v>
      </c>
      <c r="I21" s="4">
        <v>45799</v>
      </c>
      <c r="J21" s="5" t="s">
        <v>31</v>
      </c>
      <c r="K21" s="4">
        <v>45800</v>
      </c>
      <c r="L21" s="5" t="s">
        <v>31</v>
      </c>
      <c r="M21" s="2">
        <v>45801</v>
      </c>
      <c r="N21" s="3" t="s">
        <v>11</v>
      </c>
      <c r="AA21" s="47"/>
    </row>
    <row r="22" spans="1:27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27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27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27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27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27" s="1" customFormat="1" ht="18" customHeight="1" x14ac:dyDescent="0.15">
      <c r="A27" s="2">
        <v>45802</v>
      </c>
      <c r="B27" s="3" t="s">
        <v>11</v>
      </c>
      <c r="C27" s="4">
        <v>45803</v>
      </c>
      <c r="D27" s="5" t="s">
        <v>31</v>
      </c>
      <c r="E27" s="4">
        <v>45804</v>
      </c>
      <c r="F27" s="5" t="s">
        <v>31</v>
      </c>
      <c r="G27" s="4">
        <v>45805</v>
      </c>
      <c r="H27" s="5" t="s">
        <v>31</v>
      </c>
      <c r="I27" s="4">
        <v>45806</v>
      </c>
      <c r="J27" s="5" t="s">
        <v>31</v>
      </c>
      <c r="K27" s="4">
        <v>45807</v>
      </c>
      <c r="L27" s="46" t="s">
        <v>47</v>
      </c>
      <c r="M27" s="2">
        <v>45808</v>
      </c>
      <c r="N27" s="55" t="s">
        <v>47</v>
      </c>
    </row>
    <row r="28" spans="1:27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81" t="s">
        <v>11</v>
      </c>
      <c r="J28" s="82"/>
      <c r="K28" s="81" t="s">
        <v>11</v>
      </c>
      <c r="L28" s="82"/>
      <c r="M28" s="79" t="s">
        <v>11</v>
      </c>
      <c r="N28" s="80"/>
    </row>
    <row r="29" spans="1:27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81" t="s">
        <v>11</v>
      </c>
      <c r="J29" s="82"/>
      <c r="K29" s="81" t="s">
        <v>11</v>
      </c>
      <c r="L29" s="82"/>
      <c r="M29" s="79" t="s">
        <v>11</v>
      </c>
      <c r="N29" s="80"/>
    </row>
    <row r="30" spans="1:27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81" t="s">
        <v>11</v>
      </c>
      <c r="J30" s="82"/>
      <c r="K30" s="81" t="s">
        <v>11</v>
      </c>
      <c r="L30" s="82"/>
      <c r="M30" s="79" t="s">
        <v>11</v>
      </c>
      <c r="N30" s="80"/>
    </row>
    <row r="31" spans="1:27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81" t="s">
        <v>11</v>
      </c>
      <c r="J31" s="82"/>
      <c r="K31" s="81" t="s">
        <v>11</v>
      </c>
      <c r="L31" s="82"/>
      <c r="M31" s="79" t="s">
        <v>11</v>
      </c>
      <c r="N31" s="80"/>
    </row>
    <row r="32" spans="1:27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4" t="s">
        <v>11</v>
      </c>
      <c r="J32" s="75"/>
      <c r="K32" s="74" t="s">
        <v>11</v>
      </c>
      <c r="L32" s="75"/>
      <c r="M32" s="72" t="s">
        <v>11</v>
      </c>
      <c r="N32" s="73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19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19</v>
      </c>
      <c r="N34" s="52" t="str">
        <f>"RM " &amp; TEXT(_xlfn.XLOOKUP(K34,DATABASE!$D$1:$D$6,DATABASE!$E$1:$E$6)*$M$34, "0.00")</f>
        <v>RM 5700.00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4750.00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3800.00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2850.00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56"/>
      <c r="M38" s="43"/>
      <c r="N38" s="53" t="str">
        <f>"RM " &amp; TEXT(_xlfn.XLOOKUP(K38,DATABASE!$D$1:$D$6,DATABASE!$E$1:$E$6)*$M$34, "0.00")</f>
        <v>RM 950.00</v>
      </c>
    </row>
  </sheetData>
  <mergeCells count="194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A802-4D8B-494B-9FB5-CDD2AA6B8A38}">
  <sheetPr codeName="Sheet6">
    <pageSetUpPr fitToPage="1"/>
  </sheetPr>
  <dimension ref="A1:N38"/>
  <sheetViews>
    <sheetView showGridLines="0" workbookViewId="0">
      <selection activeCell="N34" sqref="N34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48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2">
        <v>45809</v>
      </c>
      <c r="B3" s="3" t="s">
        <v>11</v>
      </c>
      <c r="C3" s="4">
        <v>45810</v>
      </c>
      <c r="D3" s="87" t="s">
        <v>49</v>
      </c>
      <c r="E3" s="4">
        <v>45811</v>
      </c>
      <c r="F3" s="5" t="s">
        <v>31</v>
      </c>
      <c r="G3" s="4">
        <v>45812</v>
      </c>
      <c r="H3" s="5" t="s">
        <v>31</v>
      </c>
      <c r="I3" s="4">
        <v>45813</v>
      </c>
      <c r="J3" s="5" t="s">
        <v>31</v>
      </c>
      <c r="K3" s="4">
        <v>45814</v>
      </c>
      <c r="L3" s="5" t="s">
        <v>31</v>
      </c>
      <c r="M3" s="2">
        <v>45815</v>
      </c>
      <c r="N3" s="55" t="s">
        <v>50</v>
      </c>
    </row>
    <row r="4" spans="1:14" s="1" customFormat="1" ht="12.75" customHeight="1" x14ac:dyDescent="0.15">
      <c r="A4" s="79" t="s">
        <v>11</v>
      </c>
      <c r="B4" s="80"/>
      <c r="C4" s="57" t="s">
        <v>11</v>
      </c>
      <c r="D4" s="88"/>
      <c r="E4" s="81" t="s">
        <v>11</v>
      </c>
      <c r="F4" s="82"/>
      <c r="G4" s="81" t="s">
        <v>11</v>
      </c>
      <c r="H4" s="82"/>
      <c r="I4" s="81" t="s">
        <v>11</v>
      </c>
      <c r="J4" s="82"/>
      <c r="K4" s="81" t="s">
        <v>11</v>
      </c>
      <c r="L4" s="82"/>
      <c r="M4" s="79" t="s">
        <v>11</v>
      </c>
      <c r="N4" s="80"/>
    </row>
    <row r="5" spans="1:14" s="1" customFormat="1" ht="12.75" customHeight="1" x14ac:dyDescent="0.15">
      <c r="A5" s="79" t="s">
        <v>11</v>
      </c>
      <c r="B5" s="80"/>
      <c r="C5" s="57" t="s">
        <v>11</v>
      </c>
      <c r="D5" s="88"/>
      <c r="E5" s="81" t="s">
        <v>11</v>
      </c>
      <c r="F5" s="82"/>
      <c r="G5" s="81" t="s">
        <v>11</v>
      </c>
      <c r="H5" s="82"/>
      <c r="I5" s="81" t="s">
        <v>11</v>
      </c>
      <c r="J5" s="82"/>
      <c r="K5" s="81" t="s">
        <v>11</v>
      </c>
      <c r="L5" s="82"/>
      <c r="M5" s="79" t="s">
        <v>11</v>
      </c>
      <c r="N5" s="80"/>
    </row>
    <row r="6" spans="1:14" s="1" customFormat="1" ht="12.75" customHeight="1" x14ac:dyDescent="0.15">
      <c r="A6" s="79" t="s">
        <v>11</v>
      </c>
      <c r="B6" s="80"/>
      <c r="C6" s="81" t="s">
        <v>11</v>
      </c>
      <c r="D6" s="82"/>
      <c r="E6" s="81" t="s">
        <v>11</v>
      </c>
      <c r="F6" s="82"/>
      <c r="G6" s="81" t="s">
        <v>11</v>
      </c>
      <c r="H6" s="82"/>
      <c r="I6" s="81" t="s">
        <v>11</v>
      </c>
      <c r="J6" s="82"/>
      <c r="K6" s="81" t="s">
        <v>11</v>
      </c>
      <c r="L6" s="82"/>
      <c r="M6" s="79" t="s">
        <v>11</v>
      </c>
      <c r="N6" s="80"/>
    </row>
    <row r="7" spans="1:14" s="1" customFormat="1" ht="12.75" customHeight="1" x14ac:dyDescent="0.15">
      <c r="A7" s="79" t="s">
        <v>11</v>
      </c>
      <c r="B7" s="80"/>
      <c r="C7" s="81" t="s">
        <v>11</v>
      </c>
      <c r="D7" s="82"/>
      <c r="E7" s="81" t="s">
        <v>11</v>
      </c>
      <c r="F7" s="82"/>
      <c r="G7" s="81" t="s">
        <v>11</v>
      </c>
      <c r="H7" s="82"/>
      <c r="I7" s="81" t="s">
        <v>11</v>
      </c>
      <c r="J7" s="82"/>
      <c r="K7" s="81" t="s">
        <v>11</v>
      </c>
      <c r="L7" s="82"/>
      <c r="M7" s="79" t="s">
        <v>11</v>
      </c>
      <c r="N7" s="80"/>
    </row>
    <row r="8" spans="1:14" s="6" customFormat="1" ht="12.75" customHeight="1" x14ac:dyDescent="0.15">
      <c r="A8" s="72" t="s">
        <v>11</v>
      </c>
      <c r="B8" s="73"/>
      <c r="C8" s="74" t="s">
        <v>11</v>
      </c>
      <c r="D8" s="75"/>
      <c r="E8" s="74" t="s">
        <v>11</v>
      </c>
      <c r="F8" s="75"/>
      <c r="G8" s="74" t="s">
        <v>11</v>
      </c>
      <c r="H8" s="75"/>
      <c r="I8" s="74" t="s">
        <v>11</v>
      </c>
      <c r="J8" s="75"/>
      <c r="K8" s="74" t="s">
        <v>11</v>
      </c>
      <c r="L8" s="75"/>
      <c r="M8" s="72" t="s">
        <v>11</v>
      </c>
      <c r="N8" s="73"/>
    </row>
    <row r="9" spans="1:14" s="1" customFormat="1" ht="18" customHeight="1" x14ac:dyDescent="0.15">
      <c r="A9" s="2">
        <v>45816</v>
      </c>
      <c r="B9" s="3" t="s">
        <v>11</v>
      </c>
      <c r="C9" s="4">
        <v>45817</v>
      </c>
      <c r="D9" s="5" t="s">
        <v>31</v>
      </c>
      <c r="E9" s="4">
        <v>45818</v>
      </c>
      <c r="F9" s="5" t="s">
        <v>31</v>
      </c>
      <c r="G9" s="4">
        <v>45819</v>
      </c>
      <c r="H9" s="5" t="s">
        <v>31</v>
      </c>
      <c r="I9" s="4">
        <v>45820</v>
      </c>
      <c r="J9" s="5" t="s">
        <v>31</v>
      </c>
      <c r="K9" s="4">
        <v>45821</v>
      </c>
      <c r="L9" s="5" t="s">
        <v>31</v>
      </c>
      <c r="M9" s="2">
        <v>45822</v>
      </c>
      <c r="N9" s="3"/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45823</v>
      </c>
      <c r="B15" s="3"/>
      <c r="C15" s="4">
        <v>45824</v>
      </c>
      <c r="D15" s="5" t="s">
        <v>31</v>
      </c>
      <c r="E15" s="4">
        <v>45825</v>
      </c>
      <c r="F15" s="5" t="s">
        <v>31</v>
      </c>
      <c r="G15" s="4">
        <v>45826</v>
      </c>
      <c r="H15" s="5" t="s">
        <v>31</v>
      </c>
      <c r="I15" s="4">
        <v>45827</v>
      </c>
      <c r="J15" s="5" t="s">
        <v>31</v>
      </c>
      <c r="K15" s="4">
        <v>45828</v>
      </c>
      <c r="L15" s="5" t="s">
        <v>31</v>
      </c>
      <c r="M15" s="2">
        <v>45829</v>
      </c>
      <c r="N15" s="3"/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45830</v>
      </c>
      <c r="B21" s="3" t="s">
        <v>11</v>
      </c>
      <c r="C21" s="4">
        <v>45831</v>
      </c>
      <c r="D21" s="5" t="s">
        <v>31</v>
      </c>
      <c r="E21" s="4">
        <v>45832</v>
      </c>
      <c r="F21" s="5" t="s">
        <v>31</v>
      </c>
      <c r="G21" s="4">
        <v>45833</v>
      </c>
      <c r="H21" s="5" t="s">
        <v>31</v>
      </c>
      <c r="I21" s="4">
        <v>45834</v>
      </c>
      <c r="J21" s="5" t="s">
        <v>31</v>
      </c>
      <c r="K21" s="4">
        <v>45835</v>
      </c>
      <c r="L21" s="46" t="s">
        <v>51</v>
      </c>
      <c r="M21" s="2">
        <v>45836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45837</v>
      </c>
      <c r="B27" s="3" t="s">
        <v>11</v>
      </c>
      <c r="C27" s="4">
        <v>45838</v>
      </c>
      <c r="D27" s="5" t="s">
        <v>31</v>
      </c>
      <c r="E27" s="18" t="s">
        <v>11</v>
      </c>
      <c r="F27" s="19" t="s">
        <v>11</v>
      </c>
      <c r="G27" s="18" t="s">
        <v>11</v>
      </c>
      <c r="H27" s="19" t="s">
        <v>11</v>
      </c>
      <c r="I27" s="18" t="s">
        <v>11</v>
      </c>
      <c r="J27" s="19" t="s">
        <v>11</v>
      </c>
      <c r="K27" s="18" t="s">
        <v>11</v>
      </c>
      <c r="L27" s="19" t="s">
        <v>11</v>
      </c>
      <c r="M27" s="18" t="s">
        <v>11</v>
      </c>
      <c r="N27" s="19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68" t="s">
        <v>11</v>
      </c>
      <c r="F28" s="69"/>
      <c r="G28" s="68" t="s">
        <v>11</v>
      </c>
      <c r="H28" s="69"/>
      <c r="I28" s="68" t="s">
        <v>11</v>
      </c>
      <c r="J28" s="69"/>
      <c r="K28" s="68" t="s">
        <v>11</v>
      </c>
      <c r="L28" s="69"/>
      <c r="M28" s="68" t="s">
        <v>11</v>
      </c>
      <c r="N28" s="69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68" t="s">
        <v>11</v>
      </c>
      <c r="F29" s="69"/>
      <c r="G29" s="68" t="s">
        <v>11</v>
      </c>
      <c r="H29" s="69"/>
      <c r="I29" s="68" t="s">
        <v>11</v>
      </c>
      <c r="J29" s="69"/>
      <c r="K29" s="68" t="s">
        <v>11</v>
      </c>
      <c r="L29" s="69"/>
      <c r="M29" s="68" t="s">
        <v>11</v>
      </c>
      <c r="N29" s="69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68" t="s">
        <v>11</v>
      </c>
      <c r="F30" s="69"/>
      <c r="G30" s="68" t="s">
        <v>11</v>
      </c>
      <c r="H30" s="69"/>
      <c r="I30" s="68" t="s">
        <v>11</v>
      </c>
      <c r="J30" s="69"/>
      <c r="K30" s="68" t="s">
        <v>11</v>
      </c>
      <c r="L30" s="69"/>
      <c r="M30" s="68" t="s">
        <v>11</v>
      </c>
      <c r="N30" s="69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68" t="s">
        <v>11</v>
      </c>
      <c r="F31" s="69"/>
      <c r="G31" s="68" t="s">
        <v>11</v>
      </c>
      <c r="H31" s="69"/>
      <c r="I31" s="68" t="s">
        <v>11</v>
      </c>
      <c r="J31" s="69"/>
      <c r="K31" s="68" t="s">
        <v>11</v>
      </c>
      <c r="L31" s="69"/>
      <c r="M31" s="68" t="s">
        <v>11</v>
      </c>
      <c r="N31" s="69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0" t="s">
        <v>11</v>
      </c>
      <c r="F32" s="71"/>
      <c r="G32" s="70" t="s">
        <v>11</v>
      </c>
      <c r="H32" s="71"/>
      <c r="I32" s="70" t="s">
        <v>11</v>
      </c>
      <c r="J32" s="71"/>
      <c r="K32" s="70" t="s">
        <v>11</v>
      </c>
      <c r="L32" s="71"/>
      <c r="M32" s="70" t="s">
        <v>11</v>
      </c>
      <c r="N32" s="71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19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19</v>
      </c>
      <c r="N34" s="52" t="str">
        <f>"RM " &amp; TEXT(_xlfn.XLOOKUP(K34,DATABASE!$D$1:$D$6,DATABASE!$E$1:$E$6)*$M$34, "0.00")</f>
        <v>RM 5700.00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4750.00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3800.00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2850.00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950.00</v>
      </c>
    </row>
  </sheetData>
  <mergeCells count="193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E5:F5"/>
    <mergeCell ref="G5:H5"/>
    <mergeCell ref="I5:J5"/>
    <mergeCell ref="K5:L5"/>
    <mergeCell ref="M5:N5"/>
    <mergeCell ref="A4:B4"/>
    <mergeCell ref="E4:F4"/>
    <mergeCell ref="G4:H4"/>
    <mergeCell ref="I4:J4"/>
    <mergeCell ref="K4:L4"/>
    <mergeCell ref="D3:D5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blackAndWhite="1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503C-ABD2-43B0-83AB-3B81760043CC}">
  <sheetPr codeName="Sheet7">
    <pageSetUpPr fitToPage="1"/>
  </sheetPr>
  <dimension ref="A1:N39"/>
  <sheetViews>
    <sheetView showGridLines="0" workbookViewId="0">
      <selection activeCell="O43" sqref="O43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52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4">
        <v>45839</v>
      </c>
      <c r="F3" s="5" t="s">
        <v>31</v>
      </c>
      <c r="G3" s="4">
        <v>45840</v>
      </c>
      <c r="H3" s="5" t="s">
        <v>31</v>
      </c>
      <c r="I3" s="4">
        <v>45841</v>
      </c>
      <c r="J3" s="5" t="s">
        <v>31</v>
      </c>
      <c r="K3" s="4">
        <v>45842</v>
      </c>
      <c r="L3" s="5" t="s">
        <v>31</v>
      </c>
      <c r="M3" s="2">
        <v>45843</v>
      </c>
      <c r="N3" s="3" t="s">
        <v>11</v>
      </c>
    </row>
    <row r="4" spans="1:14" s="1" customFormat="1" ht="12.75" customHeight="1" x14ac:dyDescent="0.15">
      <c r="A4" s="68" t="s">
        <v>11</v>
      </c>
      <c r="B4" s="69"/>
      <c r="C4" s="68" t="s">
        <v>11</v>
      </c>
      <c r="D4" s="69"/>
      <c r="E4" s="81" t="s">
        <v>11</v>
      </c>
      <c r="F4" s="82"/>
      <c r="G4" s="81" t="s">
        <v>11</v>
      </c>
      <c r="H4" s="82"/>
      <c r="I4" s="81" t="s">
        <v>11</v>
      </c>
      <c r="J4" s="82"/>
      <c r="K4" s="81" t="s">
        <v>11</v>
      </c>
      <c r="L4" s="82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68" t="s">
        <v>11</v>
      </c>
      <c r="D5" s="69"/>
      <c r="E5" s="81" t="s">
        <v>11</v>
      </c>
      <c r="F5" s="82"/>
      <c r="G5" s="81" t="s">
        <v>11</v>
      </c>
      <c r="H5" s="82"/>
      <c r="I5" s="81" t="s">
        <v>11</v>
      </c>
      <c r="J5" s="82"/>
      <c r="K5" s="81" t="s">
        <v>11</v>
      </c>
      <c r="L5" s="82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68" t="s">
        <v>11</v>
      </c>
      <c r="D6" s="69"/>
      <c r="E6" s="81" t="s">
        <v>11</v>
      </c>
      <c r="F6" s="82"/>
      <c r="G6" s="81" t="s">
        <v>11</v>
      </c>
      <c r="H6" s="82"/>
      <c r="I6" s="81" t="s">
        <v>11</v>
      </c>
      <c r="J6" s="82"/>
      <c r="K6" s="81" t="s">
        <v>11</v>
      </c>
      <c r="L6" s="82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68" t="s">
        <v>11</v>
      </c>
      <c r="D7" s="69"/>
      <c r="E7" s="81" t="s">
        <v>11</v>
      </c>
      <c r="F7" s="82"/>
      <c r="G7" s="81" t="s">
        <v>11</v>
      </c>
      <c r="H7" s="82"/>
      <c r="I7" s="81" t="s">
        <v>11</v>
      </c>
      <c r="J7" s="82"/>
      <c r="K7" s="81" t="s">
        <v>11</v>
      </c>
      <c r="L7" s="82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0" t="s">
        <v>11</v>
      </c>
      <c r="D8" s="71"/>
      <c r="E8" s="74" t="s">
        <v>11</v>
      </c>
      <c r="F8" s="75"/>
      <c r="G8" s="74" t="s">
        <v>11</v>
      </c>
      <c r="H8" s="75"/>
      <c r="I8" s="74" t="s">
        <v>11</v>
      </c>
      <c r="J8" s="75"/>
      <c r="K8" s="74" t="s">
        <v>11</v>
      </c>
      <c r="L8" s="75"/>
      <c r="M8" s="72" t="s">
        <v>11</v>
      </c>
      <c r="N8" s="73"/>
    </row>
    <row r="9" spans="1:14" s="1" customFormat="1" ht="18" customHeight="1" x14ac:dyDescent="0.15">
      <c r="A9" s="2">
        <v>45844</v>
      </c>
      <c r="B9" s="3" t="s">
        <v>11</v>
      </c>
      <c r="C9" s="4">
        <v>45845</v>
      </c>
      <c r="D9" s="5" t="s">
        <v>31</v>
      </c>
      <c r="E9" s="4">
        <v>45846</v>
      </c>
      <c r="F9" s="5" t="s">
        <v>31</v>
      </c>
      <c r="G9" s="4">
        <v>45847</v>
      </c>
      <c r="H9" s="5" t="s">
        <v>31</v>
      </c>
      <c r="I9" s="4">
        <v>45848</v>
      </c>
      <c r="J9" s="5" t="s">
        <v>31</v>
      </c>
      <c r="K9" s="4">
        <v>45849</v>
      </c>
      <c r="L9" s="5" t="s">
        <v>31</v>
      </c>
      <c r="M9" s="2">
        <v>45850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45851</v>
      </c>
      <c r="B15" s="3" t="s">
        <v>11</v>
      </c>
      <c r="C15" s="4">
        <v>45852</v>
      </c>
      <c r="D15" s="5" t="s">
        <v>31</v>
      </c>
      <c r="E15" s="4">
        <v>45853</v>
      </c>
      <c r="F15" s="5" t="s">
        <v>31</v>
      </c>
      <c r="G15" s="4">
        <v>45854</v>
      </c>
      <c r="H15" s="5" t="s">
        <v>31</v>
      </c>
      <c r="I15" s="4">
        <v>45855</v>
      </c>
      <c r="J15" s="5" t="s">
        <v>31</v>
      </c>
      <c r="K15" s="4">
        <v>45856</v>
      </c>
      <c r="L15" s="5" t="s">
        <v>31</v>
      </c>
      <c r="M15" s="2">
        <v>45857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45858</v>
      </c>
      <c r="B21" s="3" t="s">
        <v>11</v>
      </c>
      <c r="C21" s="4">
        <v>45859</v>
      </c>
      <c r="D21" s="5" t="s">
        <v>31</v>
      </c>
      <c r="E21" s="4">
        <v>45860</v>
      </c>
      <c r="F21" s="5" t="s">
        <v>31</v>
      </c>
      <c r="G21" s="4">
        <v>45861</v>
      </c>
      <c r="H21" s="5" t="s">
        <v>31</v>
      </c>
      <c r="I21" s="4">
        <v>45862</v>
      </c>
      <c r="J21" s="5" t="s">
        <v>31</v>
      </c>
      <c r="K21" s="4">
        <v>45863</v>
      </c>
      <c r="L21" s="5" t="s">
        <v>31</v>
      </c>
      <c r="M21" s="2">
        <v>45864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45865</v>
      </c>
      <c r="B27" s="3"/>
      <c r="C27" s="4">
        <v>45866</v>
      </c>
      <c r="D27" s="5" t="s">
        <v>31</v>
      </c>
      <c r="E27" s="4">
        <v>45867</v>
      </c>
      <c r="F27" s="5" t="s">
        <v>31</v>
      </c>
      <c r="G27" s="4">
        <v>45868</v>
      </c>
      <c r="H27" s="5" t="s">
        <v>31</v>
      </c>
      <c r="I27" s="4">
        <v>45869</v>
      </c>
      <c r="J27" s="5" t="s">
        <v>31</v>
      </c>
      <c r="K27" s="18" t="s">
        <v>11</v>
      </c>
      <c r="L27" s="19" t="s">
        <v>11</v>
      </c>
      <c r="M27" s="18" t="s">
        <v>11</v>
      </c>
      <c r="N27" s="19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81" t="s">
        <v>11</v>
      </c>
      <c r="J28" s="82"/>
      <c r="K28" s="68" t="s">
        <v>11</v>
      </c>
      <c r="L28" s="69"/>
      <c r="M28" s="68" t="s">
        <v>11</v>
      </c>
      <c r="N28" s="69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81" t="s">
        <v>11</v>
      </c>
      <c r="J29" s="82"/>
      <c r="K29" s="68" t="s">
        <v>11</v>
      </c>
      <c r="L29" s="69"/>
      <c r="M29" s="68" t="s">
        <v>11</v>
      </c>
      <c r="N29" s="69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81" t="s">
        <v>11</v>
      </c>
      <c r="J30" s="82"/>
      <c r="K30" s="68" t="s">
        <v>11</v>
      </c>
      <c r="L30" s="69"/>
      <c r="M30" s="68" t="s">
        <v>11</v>
      </c>
      <c r="N30" s="69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81" t="s">
        <v>11</v>
      </c>
      <c r="J31" s="82"/>
      <c r="K31" s="68" t="s">
        <v>11</v>
      </c>
      <c r="L31" s="69"/>
      <c r="M31" s="68" t="s">
        <v>11</v>
      </c>
      <c r="N31" s="69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4" t="s">
        <v>11</v>
      </c>
      <c r="J32" s="75"/>
      <c r="K32" s="70" t="s">
        <v>11</v>
      </c>
      <c r="L32" s="71"/>
      <c r="M32" s="70" t="s">
        <v>11</v>
      </c>
      <c r="N32" s="71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23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23</v>
      </c>
      <c r="N34" s="52" t="str">
        <f>"RM " &amp; TEXT(_xlfn.XLOOKUP(K34,DATABASE!$D$1:$D$6,DATABASE!$E$1:$E$6)*$M$34, "0.00")</f>
        <v>RM 6900.00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5750.00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4600.00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3450.00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1150.00</v>
      </c>
    </row>
    <row r="39" spans="1:14" x14ac:dyDescent="0.15">
      <c r="A39" s="17"/>
      <c r="B39" s="1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17"/>
      <c r="N39" s="17"/>
    </row>
  </sheetData>
  <mergeCells count="195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C39:L39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blackAndWhite="1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5E00-876C-46A2-8726-4C93D2C04CA0}">
  <sheetPr codeName="Sheet8">
    <pageSetUpPr fitToPage="1"/>
  </sheetPr>
  <dimension ref="A1:N39"/>
  <sheetViews>
    <sheetView showGridLines="0" tabSelected="1" workbookViewId="0">
      <selection activeCell="L15" sqref="L15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53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18" t="s">
        <v>11</v>
      </c>
      <c r="F3" s="19" t="s">
        <v>11</v>
      </c>
      <c r="G3" s="18" t="s">
        <v>11</v>
      </c>
      <c r="H3" s="19" t="s">
        <v>11</v>
      </c>
      <c r="I3" s="18" t="s">
        <v>11</v>
      </c>
      <c r="J3" s="19" t="s">
        <v>11</v>
      </c>
      <c r="K3" s="4">
        <v>45870</v>
      </c>
      <c r="L3" s="5" t="s">
        <v>31</v>
      </c>
      <c r="M3" s="2">
        <v>45871</v>
      </c>
      <c r="N3" s="3" t="s">
        <v>11</v>
      </c>
    </row>
    <row r="4" spans="1:14" s="1" customFormat="1" ht="12.75" customHeight="1" x14ac:dyDescent="0.15">
      <c r="A4" s="68" t="s">
        <v>11</v>
      </c>
      <c r="B4" s="69"/>
      <c r="C4" s="68" t="s">
        <v>11</v>
      </c>
      <c r="D4" s="69"/>
      <c r="E4" s="68" t="s">
        <v>11</v>
      </c>
      <c r="F4" s="69"/>
      <c r="G4" s="68" t="s">
        <v>11</v>
      </c>
      <c r="H4" s="69"/>
      <c r="I4" s="68" t="s">
        <v>11</v>
      </c>
      <c r="J4" s="69"/>
      <c r="K4" s="81" t="s">
        <v>11</v>
      </c>
      <c r="L4" s="82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68" t="s">
        <v>11</v>
      </c>
      <c r="D5" s="69"/>
      <c r="E5" s="68" t="s">
        <v>11</v>
      </c>
      <c r="F5" s="69"/>
      <c r="G5" s="68" t="s">
        <v>11</v>
      </c>
      <c r="H5" s="69"/>
      <c r="I5" s="68" t="s">
        <v>11</v>
      </c>
      <c r="J5" s="69"/>
      <c r="K5" s="81" t="s">
        <v>11</v>
      </c>
      <c r="L5" s="82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68" t="s">
        <v>11</v>
      </c>
      <c r="D6" s="69"/>
      <c r="E6" s="68" t="s">
        <v>11</v>
      </c>
      <c r="F6" s="69"/>
      <c r="G6" s="68" t="s">
        <v>11</v>
      </c>
      <c r="H6" s="69"/>
      <c r="I6" s="68" t="s">
        <v>11</v>
      </c>
      <c r="J6" s="69"/>
      <c r="K6" s="81" t="s">
        <v>11</v>
      </c>
      <c r="L6" s="82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68" t="s">
        <v>11</v>
      </c>
      <c r="D7" s="69"/>
      <c r="E7" s="68" t="s">
        <v>11</v>
      </c>
      <c r="F7" s="69"/>
      <c r="G7" s="68" t="s">
        <v>11</v>
      </c>
      <c r="H7" s="69"/>
      <c r="I7" s="68" t="s">
        <v>11</v>
      </c>
      <c r="J7" s="69"/>
      <c r="K7" s="81" t="s">
        <v>11</v>
      </c>
      <c r="L7" s="82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0" t="s">
        <v>11</v>
      </c>
      <c r="D8" s="71"/>
      <c r="E8" s="70" t="s">
        <v>11</v>
      </c>
      <c r="F8" s="71"/>
      <c r="G8" s="70" t="s">
        <v>11</v>
      </c>
      <c r="H8" s="71"/>
      <c r="I8" s="70" t="s">
        <v>11</v>
      </c>
      <c r="J8" s="71"/>
      <c r="K8" s="74" t="s">
        <v>11</v>
      </c>
      <c r="L8" s="75"/>
      <c r="M8" s="72" t="s">
        <v>11</v>
      </c>
      <c r="N8" s="73"/>
    </row>
    <row r="9" spans="1:14" s="1" customFormat="1" ht="18" customHeight="1" x14ac:dyDescent="0.15">
      <c r="A9" s="2">
        <v>45872</v>
      </c>
      <c r="B9" s="3" t="s">
        <v>11</v>
      </c>
      <c r="C9" s="4">
        <v>45873</v>
      </c>
      <c r="D9" s="5" t="s">
        <v>31</v>
      </c>
      <c r="E9" s="4">
        <v>45874</v>
      </c>
      <c r="F9" s="5" t="s">
        <v>31</v>
      </c>
      <c r="G9" s="4">
        <v>45875</v>
      </c>
      <c r="H9" s="5" t="s">
        <v>31</v>
      </c>
      <c r="I9" s="4">
        <v>45876</v>
      </c>
      <c r="J9" s="5" t="s">
        <v>31</v>
      </c>
      <c r="K9" s="4">
        <v>45877</v>
      </c>
      <c r="L9" s="5" t="s">
        <v>31</v>
      </c>
      <c r="M9" s="2">
        <v>45878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45879</v>
      </c>
      <c r="B15" s="3" t="s">
        <v>11</v>
      </c>
      <c r="C15" s="4">
        <v>45880</v>
      </c>
      <c r="D15" s="5" t="s">
        <v>31</v>
      </c>
      <c r="E15" s="4">
        <v>45881</v>
      </c>
      <c r="F15" s="5" t="s">
        <v>31</v>
      </c>
      <c r="G15" s="4">
        <v>45882</v>
      </c>
      <c r="H15" s="5" t="s">
        <v>31</v>
      </c>
      <c r="I15" s="4">
        <v>45883</v>
      </c>
      <c r="J15" s="5" t="s">
        <v>31</v>
      </c>
      <c r="K15" s="4">
        <v>45884</v>
      </c>
      <c r="L15" s="5" t="s">
        <v>31</v>
      </c>
      <c r="M15" s="2">
        <v>45885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45886</v>
      </c>
      <c r="B21" s="3" t="s">
        <v>11</v>
      </c>
      <c r="C21" s="4">
        <v>45887</v>
      </c>
      <c r="D21" s="5" t="s">
        <v>31</v>
      </c>
      <c r="E21" s="4">
        <v>45888</v>
      </c>
      <c r="F21" s="5" t="s">
        <v>31</v>
      </c>
      <c r="G21" s="4">
        <v>45889</v>
      </c>
      <c r="H21" s="5" t="s">
        <v>31</v>
      </c>
      <c r="I21" s="4">
        <v>45890</v>
      </c>
      <c r="J21" s="5" t="s">
        <v>31</v>
      </c>
      <c r="K21" s="4">
        <v>45891</v>
      </c>
      <c r="L21" s="5" t="s">
        <v>31</v>
      </c>
      <c r="M21" s="2">
        <v>45892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45893</v>
      </c>
      <c r="B27" s="3" t="s">
        <v>11</v>
      </c>
      <c r="C27" s="4">
        <v>45894</v>
      </c>
      <c r="D27" s="5" t="s">
        <v>31</v>
      </c>
      <c r="E27" s="4">
        <v>45895</v>
      </c>
      <c r="F27" s="5" t="s">
        <v>31</v>
      </c>
      <c r="G27" s="4">
        <v>45896</v>
      </c>
      <c r="H27" s="5" t="s">
        <v>31</v>
      </c>
      <c r="I27" s="4">
        <v>45897</v>
      </c>
      <c r="J27" s="5" t="s">
        <v>31</v>
      </c>
      <c r="K27" s="4">
        <v>45898</v>
      </c>
      <c r="L27" s="5" t="s">
        <v>31</v>
      </c>
      <c r="M27" s="2">
        <v>45899</v>
      </c>
      <c r="N27" s="3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81" t="s">
        <v>11</v>
      </c>
      <c r="J28" s="82"/>
      <c r="K28" s="81" t="s">
        <v>11</v>
      </c>
      <c r="L28" s="82"/>
      <c r="M28" s="79" t="s">
        <v>11</v>
      </c>
      <c r="N28" s="80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81" t="s">
        <v>11</v>
      </c>
      <c r="J29" s="82"/>
      <c r="K29" s="81" t="s">
        <v>11</v>
      </c>
      <c r="L29" s="82"/>
      <c r="M29" s="79" t="s">
        <v>11</v>
      </c>
      <c r="N29" s="80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81" t="s">
        <v>11</v>
      </c>
      <c r="J30" s="82"/>
      <c r="K30" s="81" t="s">
        <v>11</v>
      </c>
      <c r="L30" s="82"/>
      <c r="M30" s="79" t="s">
        <v>11</v>
      </c>
      <c r="N30" s="80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81" t="s">
        <v>11</v>
      </c>
      <c r="J31" s="82"/>
      <c r="K31" s="81" t="s">
        <v>11</v>
      </c>
      <c r="L31" s="82"/>
      <c r="M31" s="79" t="s">
        <v>11</v>
      </c>
      <c r="N31" s="80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4" t="s">
        <v>11</v>
      </c>
      <c r="J32" s="75"/>
      <c r="K32" s="74" t="s">
        <v>11</v>
      </c>
      <c r="L32" s="75"/>
      <c r="M32" s="72" t="s">
        <v>11</v>
      </c>
      <c r="N32" s="73"/>
    </row>
    <row r="33" spans="1:14" ht="18" customHeight="1" x14ac:dyDescent="0.15">
      <c r="A33" s="2">
        <v>45900</v>
      </c>
      <c r="B33" s="55" t="s">
        <v>54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21 Working Days</v>
      </c>
      <c r="L33" s="77"/>
      <c r="M33" s="77"/>
      <c r="N33" s="78"/>
    </row>
    <row r="34" spans="1:14" ht="12.75" customHeight="1" x14ac:dyDescent="0.15">
      <c r="A34" s="79" t="s">
        <v>11</v>
      </c>
      <c r="B34" s="80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21</v>
      </c>
      <c r="N34" s="52" t="str">
        <f>"RM " &amp; TEXT(_xlfn.XLOOKUP(K34,DATABASE!$D$1:$D$6,DATABASE!$E$1:$E$6)*$M$34, "0.00")</f>
        <v>RM 6300.00</v>
      </c>
    </row>
    <row r="35" spans="1:14" ht="12.75" customHeight="1" x14ac:dyDescent="0.15">
      <c r="A35" s="79" t="s">
        <v>11</v>
      </c>
      <c r="B35" s="80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5250.00</v>
      </c>
    </row>
    <row r="36" spans="1:14" ht="12.75" customHeight="1" x14ac:dyDescent="0.15">
      <c r="A36" s="79" t="s">
        <v>11</v>
      </c>
      <c r="B36" s="80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4200.00</v>
      </c>
    </row>
    <row r="37" spans="1:14" ht="12.75" customHeight="1" x14ac:dyDescent="0.15">
      <c r="A37" s="79" t="s">
        <v>11</v>
      </c>
      <c r="B37" s="80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3150.00</v>
      </c>
    </row>
    <row r="38" spans="1:14" ht="12.75" customHeight="1" x14ac:dyDescent="0.15">
      <c r="A38" s="72" t="s">
        <v>11</v>
      </c>
      <c r="B38" s="73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1050.00</v>
      </c>
    </row>
    <row r="39" spans="1:14" x14ac:dyDescent="0.15">
      <c r="A39" s="17"/>
      <c r="B39" s="1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17"/>
      <c r="N39" s="17"/>
    </row>
  </sheetData>
  <mergeCells count="195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C39:L39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blackAndWhite="1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C91C-1B4B-4BBC-A64F-9BBB8495F28F}">
  <sheetPr codeName="Sheet9">
    <pageSetUpPr fitToPage="1"/>
  </sheetPr>
  <dimension ref="A1:N39"/>
  <sheetViews>
    <sheetView showGridLines="0" workbookViewId="0">
      <selection activeCell="D9" sqref="D9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55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4">
        <v>45901</v>
      </c>
      <c r="D3" s="5" t="s">
        <v>31</v>
      </c>
      <c r="E3" s="4">
        <v>45902</v>
      </c>
      <c r="F3" s="92" t="s">
        <v>56</v>
      </c>
      <c r="G3" s="4">
        <v>45903</v>
      </c>
      <c r="H3" s="5" t="s">
        <v>31</v>
      </c>
      <c r="I3" s="4">
        <v>45904</v>
      </c>
      <c r="J3" s="5" t="s">
        <v>31</v>
      </c>
      <c r="K3" s="4">
        <v>45905</v>
      </c>
      <c r="L3" s="90" t="s">
        <v>57</v>
      </c>
      <c r="M3" s="2">
        <v>45906</v>
      </c>
      <c r="N3" s="3" t="s">
        <v>11</v>
      </c>
    </row>
    <row r="4" spans="1:14" s="1" customFormat="1" ht="12.75" customHeight="1" x14ac:dyDescent="0.15">
      <c r="A4" s="68" t="s">
        <v>11</v>
      </c>
      <c r="B4" s="69"/>
      <c r="C4" s="81" t="s">
        <v>11</v>
      </c>
      <c r="D4" s="82"/>
      <c r="E4" s="57" t="s">
        <v>11</v>
      </c>
      <c r="F4" s="93"/>
      <c r="G4" s="81" t="s">
        <v>11</v>
      </c>
      <c r="H4" s="82"/>
      <c r="I4" s="81" t="s">
        <v>11</v>
      </c>
      <c r="J4" s="82"/>
      <c r="K4" s="57" t="s">
        <v>11</v>
      </c>
      <c r="L4" s="91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81" t="s">
        <v>11</v>
      </c>
      <c r="D5" s="82"/>
      <c r="E5" s="57" t="s">
        <v>11</v>
      </c>
      <c r="F5" s="93"/>
      <c r="G5" s="81" t="s">
        <v>11</v>
      </c>
      <c r="H5" s="82"/>
      <c r="I5" s="81" t="s">
        <v>11</v>
      </c>
      <c r="J5" s="82"/>
      <c r="K5" s="57" t="s">
        <v>11</v>
      </c>
      <c r="L5" s="91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81" t="s">
        <v>11</v>
      </c>
      <c r="D6" s="82"/>
      <c r="E6" s="81" t="s">
        <v>11</v>
      </c>
      <c r="F6" s="82"/>
      <c r="G6" s="81" t="s">
        <v>11</v>
      </c>
      <c r="H6" s="82"/>
      <c r="I6" s="81" t="s">
        <v>11</v>
      </c>
      <c r="J6" s="82"/>
      <c r="K6" s="81" t="s">
        <v>11</v>
      </c>
      <c r="L6" s="82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81" t="s">
        <v>11</v>
      </c>
      <c r="D7" s="82"/>
      <c r="E7" s="81" t="s">
        <v>11</v>
      </c>
      <c r="F7" s="82"/>
      <c r="G7" s="81" t="s">
        <v>11</v>
      </c>
      <c r="H7" s="82"/>
      <c r="I7" s="81" t="s">
        <v>11</v>
      </c>
      <c r="J7" s="82"/>
      <c r="K7" s="81" t="s">
        <v>11</v>
      </c>
      <c r="L7" s="82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4" t="s">
        <v>11</v>
      </c>
      <c r="D8" s="75"/>
      <c r="E8" s="74" t="s">
        <v>11</v>
      </c>
      <c r="F8" s="75"/>
      <c r="G8" s="74" t="s">
        <v>11</v>
      </c>
      <c r="H8" s="75"/>
      <c r="I8" s="74" t="s">
        <v>11</v>
      </c>
      <c r="J8" s="75"/>
      <c r="K8" s="74" t="s">
        <v>11</v>
      </c>
      <c r="L8" s="75"/>
      <c r="M8" s="72" t="s">
        <v>11</v>
      </c>
      <c r="N8" s="73"/>
    </row>
    <row r="9" spans="1:14" s="1" customFormat="1" ht="18" customHeight="1" x14ac:dyDescent="0.15">
      <c r="A9" s="2">
        <v>45907</v>
      </c>
      <c r="B9" s="3"/>
      <c r="C9" s="4">
        <v>45908</v>
      </c>
      <c r="D9" s="5" t="s">
        <v>31</v>
      </c>
      <c r="E9" s="4">
        <v>45909</v>
      </c>
      <c r="F9" s="5" t="s">
        <v>31</v>
      </c>
      <c r="G9" s="4">
        <v>45910</v>
      </c>
      <c r="H9" s="5" t="s">
        <v>31</v>
      </c>
      <c r="I9" s="4">
        <v>45911</v>
      </c>
      <c r="J9" s="5" t="s">
        <v>31</v>
      </c>
      <c r="K9" s="4">
        <v>45912</v>
      </c>
      <c r="L9" s="5" t="s">
        <v>31</v>
      </c>
      <c r="M9" s="2">
        <v>45913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45914</v>
      </c>
      <c r="B15" s="3" t="s">
        <v>11</v>
      </c>
      <c r="C15" s="4">
        <v>45915</v>
      </c>
      <c r="D15" s="5" t="s">
        <v>31</v>
      </c>
      <c r="E15" s="4">
        <v>45916</v>
      </c>
      <c r="F15" s="46" t="s">
        <v>58</v>
      </c>
      <c r="G15" s="4">
        <v>45917</v>
      </c>
      <c r="H15" s="5" t="s">
        <v>31</v>
      </c>
      <c r="I15" s="4">
        <v>45918</v>
      </c>
      <c r="J15" s="5" t="s">
        <v>31</v>
      </c>
      <c r="K15" s="4">
        <v>45919</v>
      </c>
      <c r="L15" s="5" t="s">
        <v>31</v>
      </c>
      <c r="M15" s="2">
        <v>45920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45921</v>
      </c>
      <c r="B21" s="3" t="s">
        <v>11</v>
      </c>
      <c r="C21" s="4">
        <v>45922</v>
      </c>
      <c r="D21" s="5" t="s">
        <v>31</v>
      </c>
      <c r="E21" s="4">
        <v>45923</v>
      </c>
      <c r="F21" s="5" t="s">
        <v>31</v>
      </c>
      <c r="G21" s="4">
        <v>45924</v>
      </c>
      <c r="H21" s="5" t="s">
        <v>31</v>
      </c>
      <c r="I21" s="4">
        <v>45925</v>
      </c>
      <c r="J21" s="5" t="s">
        <v>31</v>
      </c>
      <c r="K21" s="4">
        <v>45926</v>
      </c>
      <c r="L21" s="5" t="s">
        <v>31</v>
      </c>
      <c r="M21" s="2">
        <v>45927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59"/>
      <c r="L22" s="58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45928</v>
      </c>
      <c r="B27" s="3" t="s">
        <v>11</v>
      </c>
      <c r="C27" s="4">
        <v>45929</v>
      </c>
      <c r="D27" s="5" t="s">
        <v>31</v>
      </c>
      <c r="E27" s="4">
        <v>45930</v>
      </c>
      <c r="F27" s="5" t="s">
        <v>31</v>
      </c>
      <c r="G27" s="18" t="s">
        <v>11</v>
      </c>
      <c r="H27" s="19" t="s">
        <v>11</v>
      </c>
      <c r="I27" s="18" t="s">
        <v>11</v>
      </c>
      <c r="J27" s="19" t="s">
        <v>11</v>
      </c>
      <c r="K27" s="18" t="s">
        <v>11</v>
      </c>
      <c r="L27" s="19" t="s">
        <v>11</v>
      </c>
      <c r="M27" s="18" t="s">
        <v>11</v>
      </c>
      <c r="N27" s="19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68" t="s">
        <v>11</v>
      </c>
      <c r="H28" s="69"/>
      <c r="I28" s="68" t="s">
        <v>11</v>
      </c>
      <c r="J28" s="69"/>
      <c r="K28" s="68" t="s">
        <v>11</v>
      </c>
      <c r="L28" s="69"/>
      <c r="M28" s="68" t="s">
        <v>11</v>
      </c>
      <c r="N28" s="69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68" t="s">
        <v>11</v>
      </c>
      <c r="H29" s="69"/>
      <c r="I29" s="68" t="s">
        <v>11</v>
      </c>
      <c r="J29" s="69"/>
      <c r="K29" s="68" t="s">
        <v>11</v>
      </c>
      <c r="L29" s="69"/>
      <c r="M29" s="68" t="s">
        <v>11</v>
      </c>
      <c r="N29" s="69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68" t="s">
        <v>11</v>
      </c>
      <c r="H30" s="69"/>
      <c r="I30" s="68" t="s">
        <v>11</v>
      </c>
      <c r="J30" s="69"/>
      <c r="K30" s="68" t="s">
        <v>11</v>
      </c>
      <c r="L30" s="69"/>
      <c r="M30" s="68" t="s">
        <v>11</v>
      </c>
      <c r="N30" s="69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68" t="s">
        <v>11</v>
      </c>
      <c r="H31" s="69"/>
      <c r="I31" s="68" t="s">
        <v>11</v>
      </c>
      <c r="J31" s="69"/>
      <c r="K31" s="68" t="s">
        <v>11</v>
      </c>
      <c r="L31" s="69"/>
      <c r="M31" s="68" t="s">
        <v>11</v>
      </c>
      <c r="N31" s="69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0" t="s">
        <v>11</v>
      </c>
      <c r="H32" s="71"/>
      <c r="I32" s="70" t="s">
        <v>11</v>
      </c>
      <c r="J32" s="71"/>
      <c r="K32" s="70" t="s">
        <v>11</v>
      </c>
      <c r="L32" s="71"/>
      <c r="M32" s="70" t="s">
        <v>11</v>
      </c>
      <c r="N32" s="71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19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19</v>
      </c>
      <c r="N34" s="52" t="str">
        <f>"RM " &amp; TEXT(_xlfn.XLOOKUP(K34,DATABASE!$D$1:$D$6,DATABASE!$E$1:$E$6)*$M$34, "0.00")</f>
        <v>RM 5700.00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4750.00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3800.00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2850.00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950.00</v>
      </c>
    </row>
    <row r="39" spans="1:14" x14ac:dyDescent="0.15">
      <c r="A39" s="17"/>
      <c r="B39" s="1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17"/>
      <c r="N39" s="17"/>
    </row>
  </sheetData>
  <mergeCells count="192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G5:H5"/>
    <mergeCell ref="I5:J5"/>
    <mergeCell ref="M5:N5"/>
    <mergeCell ref="A4:B4"/>
    <mergeCell ref="C4:D4"/>
    <mergeCell ref="G4:H4"/>
    <mergeCell ref="I4:J4"/>
    <mergeCell ref="L3:L5"/>
    <mergeCell ref="F3:F5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C39:L39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B1A1-9518-411E-A9DB-D20D9C484C39}">
  <sheetPr codeName="Sheet10">
    <pageSetUpPr fitToPage="1"/>
  </sheetPr>
  <dimension ref="A1:N39"/>
  <sheetViews>
    <sheetView showGridLines="0" workbookViewId="0">
      <selection activeCell="G6" sqref="G6:H6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59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18" t="s">
        <v>11</v>
      </c>
      <c r="F3" s="19" t="s">
        <v>11</v>
      </c>
      <c r="G3" s="4">
        <v>45931</v>
      </c>
      <c r="H3" s="5" t="s">
        <v>31</v>
      </c>
      <c r="I3" s="4">
        <v>45932</v>
      </c>
      <c r="J3" s="5" t="s">
        <v>31</v>
      </c>
      <c r="K3" s="4">
        <v>45933</v>
      </c>
      <c r="L3" s="5" t="s">
        <v>31</v>
      </c>
      <c r="M3" s="2">
        <v>45934</v>
      </c>
      <c r="N3" s="94" t="s">
        <v>60</v>
      </c>
    </row>
    <row r="4" spans="1:14" s="1" customFormat="1" ht="12.75" customHeight="1" x14ac:dyDescent="0.15">
      <c r="A4" s="68" t="s">
        <v>11</v>
      </c>
      <c r="B4" s="69"/>
      <c r="C4" s="68" t="s">
        <v>11</v>
      </c>
      <c r="D4" s="69"/>
      <c r="E4" s="68" t="s">
        <v>11</v>
      </c>
      <c r="F4" s="69"/>
      <c r="G4" s="81" t="s">
        <v>11</v>
      </c>
      <c r="H4" s="82"/>
      <c r="I4" s="81" t="s">
        <v>11</v>
      </c>
      <c r="J4" s="82"/>
      <c r="K4" s="81" t="s">
        <v>11</v>
      </c>
      <c r="L4" s="82"/>
      <c r="M4" s="60" t="s">
        <v>11</v>
      </c>
      <c r="N4" s="95"/>
    </row>
    <row r="5" spans="1:14" s="1" customFormat="1" ht="12.75" customHeight="1" x14ac:dyDescent="0.15">
      <c r="A5" s="68" t="s">
        <v>11</v>
      </c>
      <c r="B5" s="69"/>
      <c r="C5" s="68" t="s">
        <v>11</v>
      </c>
      <c r="D5" s="69"/>
      <c r="E5" s="68" t="s">
        <v>11</v>
      </c>
      <c r="F5" s="69"/>
      <c r="G5" s="81" t="s">
        <v>11</v>
      </c>
      <c r="H5" s="82"/>
      <c r="I5" s="81" t="s">
        <v>11</v>
      </c>
      <c r="J5" s="82"/>
      <c r="K5" s="81" t="s">
        <v>11</v>
      </c>
      <c r="L5" s="82"/>
      <c r="M5" s="60" t="s">
        <v>11</v>
      </c>
      <c r="N5" s="95"/>
    </row>
    <row r="6" spans="1:14" s="1" customFormat="1" ht="12.75" customHeight="1" x14ac:dyDescent="0.15">
      <c r="A6" s="68" t="s">
        <v>11</v>
      </c>
      <c r="B6" s="69"/>
      <c r="C6" s="68" t="s">
        <v>11</v>
      </c>
      <c r="D6" s="69"/>
      <c r="E6" s="68" t="s">
        <v>11</v>
      </c>
      <c r="F6" s="69"/>
      <c r="G6" s="81" t="s">
        <v>11</v>
      </c>
      <c r="H6" s="82"/>
      <c r="I6" s="81" t="s">
        <v>11</v>
      </c>
      <c r="J6" s="82"/>
      <c r="K6" s="81" t="s">
        <v>11</v>
      </c>
      <c r="L6" s="82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68" t="s">
        <v>11</v>
      </c>
      <c r="D7" s="69"/>
      <c r="E7" s="68" t="s">
        <v>11</v>
      </c>
      <c r="F7" s="69"/>
      <c r="G7" s="81" t="s">
        <v>11</v>
      </c>
      <c r="H7" s="82"/>
      <c r="I7" s="81" t="s">
        <v>11</v>
      </c>
      <c r="J7" s="82"/>
      <c r="K7" s="81" t="s">
        <v>11</v>
      </c>
      <c r="L7" s="82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0" t="s">
        <v>11</v>
      </c>
      <c r="D8" s="71"/>
      <c r="E8" s="70" t="s">
        <v>11</v>
      </c>
      <c r="F8" s="71"/>
      <c r="G8" s="74" t="s">
        <v>11</v>
      </c>
      <c r="H8" s="75"/>
      <c r="I8" s="74" t="s">
        <v>11</v>
      </c>
      <c r="J8" s="75"/>
      <c r="K8" s="74" t="s">
        <v>11</v>
      </c>
      <c r="L8" s="75"/>
      <c r="M8" s="72" t="s">
        <v>11</v>
      </c>
      <c r="N8" s="73"/>
    </row>
    <row r="9" spans="1:14" s="1" customFormat="1" ht="18" customHeight="1" x14ac:dyDescent="0.15">
      <c r="A9" s="2">
        <v>45935</v>
      </c>
      <c r="B9" s="3" t="s">
        <v>11</v>
      </c>
      <c r="C9" s="4">
        <v>45936</v>
      </c>
      <c r="D9" s="5" t="s">
        <v>31</v>
      </c>
      <c r="E9" s="4">
        <v>45937</v>
      </c>
      <c r="F9" s="5" t="s">
        <v>31</v>
      </c>
      <c r="G9" s="4">
        <v>45938</v>
      </c>
      <c r="H9" s="5" t="s">
        <v>31</v>
      </c>
      <c r="I9" s="4">
        <v>45939</v>
      </c>
      <c r="J9" s="5" t="s">
        <v>31</v>
      </c>
      <c r="K9" s="4">
        <v>45940</v>
      </c>
      <c r="L9" s="5" t="s">
        <v>31</v>
      </c>
      <c r="M9" s="2">
        <v>45941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45942</v>
      </c>
      <c r="B15" s="3" t="s">
        <v>11</v>
      </c>
      <c r="C15" s="4">
        <v>45943</v>
      </c>
      <c r="D15" s="5" t="s">
        <v>31</v>
      </c>
      <c r="E15" s="4">
        <v>45944</v>
      </c>
      <c r="F15" s="5" t="s">
        <v>31</v>
      </c>
      <c r="G15" s="4">
        <v>45945</v>
      </c>
      <c r="H15" s="5" t="s">
        <v>31</v>
      </c>
      <c r="I15" s="4">
        <v>45946</v>
      </c>
      <c r="J15" s="5" t="s">
        <v>31</v>
      </c>
      <c r="K15" s="4">
        <v>45947</v>
      </c>
      <c r="L15" s="5" t="s">
        <v>31</v>
      </c>
      <c r="M15" s="2">
        <v>45948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45949</v>
      </c>
      <c r="B21" s="3" t="s">
        <v>11</v>
      </c>
      <c r="C21" s="4">
        <v>45950</v>
      </c>
      <c r="D21" s="46" t="s">
        <v>61</v>
      </c>
      <c r="E21" s="4">
        <v>45951</v>
      </c>
      <c r="F21" s="5" t="s">
        <v>31</v>
      </c>
      <c r="G21" s="4">
        <v>45952</v>
      </c>
      <c r="H21" s="5" t="s">
        <v>31</v>
      </c>
      <c r="I21" s="4">
        <v>45953</v>
      </c>
      <c r="J21" s="5" t="s">
        <v>31</v>
      </c>
      <c r="K21" s="4">
        <v>45954</v>
      </c>
      <c r="L21" s="5" t="s">
        <v>31</v>
      </c>
      <c r="M21" s="2">
        <v>45955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45956</v>
      </c>
      <c r="B27" s="3" t="s">
        <v>11</v>
      </c>
      <c r="C27" s="4">
        <v>45957</v>
      </c>
      <c r="D27" s="5" t="s">
        <v>31</v>
      </c>
      <c r="E27" s="4">
        <v>45958</v>
      </c>
      <c r="F27" s="5" t="s">
        <v>31</v>
      </c>
      <c r="G27" s="4">
        <v>45959</v>
      </c>
      <c r="H27" s="5" t="s">
        <v>31</v>
      </c>
      <c r="I27" s="4">
        <v>45960</v>
      </c>
      <c r="J27" s="5" t="s">
        <v>31</v>
      </c>
      <c r="K27" s="4">
        <v>45961</v>
      </c>
      <c r="L27" s="5" t="s">
        <v>31</v>
      </c>
      <c r="M27" s="18" t="s">
        <v>11</v>
      </c>
      <c r="N27" s="19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81" t="s">
        <v>11</v>
      </c>
      <c r="J28" s="82"/>
      <c r="K28" s="81" t="s">
        <v>11</v>
      </c>
      <c r="L28" s="82"/>
      <c r="M28" s="68" t="s">
        <v>11</v>
      </c>
      <c r="N28" s="69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81" t="s">
        <v>11</v>
      </c>
      <c r="J29" s="82"/>
      <c r="K29" s="81" t="s">
        <v>11</v>
      </c>
      <c r="L29" s="82"/>
      <c r="M29" s="68" t="s">
        <v>11</v>
      </c>
      <c r="N29" s="69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81" t="s">
        <v>11</v>
      </c>
      <c r="J30" s="82"/>
      <c r="K30" s="81" t="s">
        <v>11</v>
      </c>
      <c r="L30" s="82"/>
      <c r="M30" s="68" t="s">
        <v>11</v>
      </c>
      <c r="N30" s="69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81" t="s">
        <v>11</v>
      </c>
      <c r="J31" s="82"/>
      <c r="K31" s="81" t="s">
        <v>11</v>
      </c>
      <c r="L31" s="82"/>
      <c r="M31" s="68" t="s">
        <v>11</v>
      </c>
      <c r="N31" s="69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4" t="s">
        <v>11</v>
      </c>
      <c r="J32" s="75"/>
      <c r="K32" s="74" t="s">
        <v>11</v>
      </c>
      <c r="L32" s="75"/>
      <c r="M32" s="70" t="s">
        <v>11</v>
      </c>
      <c r="N32" s="71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22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22</v>
      </c>
      <c r="N34" s="52" t="str">
        <f>"RM " &amp; TEXT(_xlfn.XLOOKUP(K34,DATABASE!$D$1:$D$6,DATABASE!$E$1:$E$6)*$M$34, "0.00")</f>
        <v>RM 6600.00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5500.00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4400.00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3300.00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1100.00</v>
      </c>
    </row>
    <row r="39" spans="1:14" x14ac:dyDescent="0.15">
      <c r="A39" s="17"/>
      <c r="B39" s="1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17"/>
      <c r="N39" s="17"/>
    </row>
  </sheetData>
  <mergeCells count="194">
    <mergeCell ref="N3:N5"/>
    <mergeCell ref="A1:N1"/>
    <mergeCell ref="A2:B2"/>
    <mergeCell ref="C2:D2"/>
    <mergeCell ref="E2:F2"/>
    <mergeCell ref="G2:H2"/>
    <mergeCell ref="I2:J2"/>
    <mergeCell ref="K2:L2"/>
    <mergeCell ref="M2:N2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C39:L39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DC60-D4CB-4148-BD95-3BFEEDDA2215}">
  <sheetPr codeName="Sheet11">
    <pageSetUpPr fitToPage="1"/>
  </sheetPr>
  <dimension ref="A1:N39"/>
  <sheetViews>
    <sheetView showGridLines="0" workbookViewId="0">
      <selection activeCell="D3" sqref="D3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62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18" t="s">
        <v>11</v>
      </c>
      <c r="D3" s="19" t="s">
        <v>11</v>
      </c>
      <c r="E3" s="18" t="s">
        <v>11</v>
      </c>
      <c r="F3" s="19" t="s">
        <v>11</v>
      </c>
      <c r="G3" s="18" t="s">
        <v>11</v>
      </c>
      <c r="H3" s="19" t="s">
        <v>11</v>
      </c>
      <c r="I3" s="18" t="s">
        <v>11</v>
      </c>
      <c r="J3" s="19" t="s">
        <v>11</v>
      </c>
      <c r="K3" s="18" t="s">
        <v>11</v>
      </c>
      <c r="L3" s="19" t="s">
        <v>11</v>
      </c>
      <c r="M3" s="2">
        <v>45962</v>
      </c>
      <c r="N3" s="3" t="s">
        <v>11</v>
      </c>
    </row>
    <row r="4" spans="1:14" s="1" customFormat="1" ht="12.75" customHeight="1" x14ac:dyDescent="0.15">
      <c r="A4" s="68" t="s">
        <v>11</v>
      </c>
      <c r="B4" s="69"/>
      <c r="C4" s="68" t="s">
        <v>11</v>
      </c>
      <c r="D4" s="69"/>
      <c r="E4" s="68" t="s">
        <v>11</v>
      </c>
      <c r="F4" s="69"/>
      <c r="G4" s="68" t="s">
        <v>11</v>
      </c>
      <c r="H4" s="69"/>
      <c r="I4" s="68" t="s">
        <v>11</v>
      </c>
      <c r="J4" s="69"/>
      <c r="K4" s="68" t="s">
        <v>11</v>
      </c>
      <c r="L4" s="69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68" t="s">
        <v>11</v>
      </c>
      <c r="D5" s="69"/>
      <c r="E5" s="68" t="s">
        <v>11</v>
      </c>
      <c r="F5" s="69"/>
      <c r="G5" s="68" t="s">
        <v>11</v>
      </c>
      <c r="H5" s="69"/>
      <c r="I5" s="68" t="s">
        <v>11</v>
      </c>
      <c r="J5" s="69"/>
      <c r="K5" s="68" t="s">
        <v>11</v>
      </c>
      <c r="L5" s="69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68" t="s">
        <v>11</v>
      </c>
      <c r="D6" s="69"/>
      <c r="E6" s="68" t="s">
        <v>11</v>
      </c>
      <c r="F6" s="69"/>
      <c r="G6" s="68" t="s">
        <v>11</v>
      </c>
      <c r="H6" s="69"/>
      <c r="I6" s="68" t="s">
        <v>11</v>
      </c>
      <c r="J6" s="69"/>
      <c r="K6" s="68" t="s">
        <v>11</v>
      </c>
      <c r="L6" s="69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68" t="s">
        <v>11</v>
      </c>
      <c r="D7" s="69"/>
      <c r="E7" s="68" t="s">
        <v>11</v>
      </c>
      <c r="F7" s="69"/>
      <c r="G7" s="68" t="s">
        <v>11</v>
      </c>
      <c r="H7" s="69"/>
      <c r="I7" s="68" t="s">
        <v>11</v>
      </c>
      <c r="J7" s="69"/>
      <c r="K7" s="68" t="s">
        <v>11</v>
      </c>
      <c r="L7" s="69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0" t="s">
        <v>11</v>
      </c>
      <c r="D8" s="71"/>
      <c r="E8" s="70" t="s">
        <v>11</v>
      </c>
      <c r="F8" s="71"/>
      <c r="G8" s="70" t="s">
        <v>11</v>
      </c>
      <c r="H8" s="71"/>
      <c r="I8" s="70" t="s">
        <v>11</v>
      </c>
      <c r="J8" s="71"/>
      <c r="K8" s="70" t="s">
        <v>11</v>
      </c>
      <c r="L8" s="71"/>
      <c r="M8" s="72" t="s">
        <v>11</v>
      </c>
      <c r="N8" s="73"/>
    </row>
    <row r="9" spans="1:14" s="1" customFormat="1" ht="18" customHeight="1" x14ac:dyDescent="0.15">
      <c r="A9" s="2">
        <v>45963</v>
      </c>
      <c r="B9" s="3"/>
      <c r="C9" s="4">
        <v>45964</v>
      </c>
      <c r="D9" s="5" t="s">
        <v>31</v>
      </c>
      <c r="E9" s="4">
        <v>45965</v>
      </c>
      <c r="F9" s="5" t="s">
        <v>31</v>
      </c>
      <c r="G9" s="4">
        <v>45966</v>
      </c>
      <c r="H9" s="5" t="s">
        <v>31</v>
      </c>
      <c r="I9" s="4">
        <v>45967</v>
      </c>
      <c r="J9" s="5" t="s">
        <v>31</v>
      </c>
      <c r="K9" s="4">
        <v>45968</v>
      </c>
      <c r="L9" s="5" t="s">
        <v>31</v>
      </c>
      <c r="M9" s="2">
        <v>45969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45970</v>
      </c>
      <c r="B15" s="3" t="s">
        <v>11</v>
      </c>
      <c r="C15" s="4">
        <v>45971</v>
      </c>
      <c r="D15" s="5" t="s">
        <v>31</v>
      </c>
      <c r="E15" s="4">
        <v>45972</v>
      </c>
      <c r="F15" s="5" t="s">
        <v>31</v>
      </c>
      <c r="G15" s="4">
        <v>45973</v>
      </c>
      <c r="H15" s="5" t="s">
        <v>31</v>
      </c>
      <c r="I15" s="4">
        <v>45974</v>
      </c>
      <c r="J15" s="5" t="s">
        <v>31</v>
      </c>
      <c r="K15" s="4">
        <v>45975</v>
      </c>
      <c r="L15" s="5" t="s">
        <v>31</v>
      </c>
      <c r="M15" s="2">
        <v>45976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45977</v>
      </c>
      <c r="B21" s="3" t="s">
        <v>11</v>
      </c>
      <c r="C21" s="4">
        <v>45978</v>
      </c>
      <c r="D21" s="5" t="s">
        <v>31</v>
      </c>
      <c r="E21" s="4">
        <v>45979</v>
      </c>
      <c r="F21" s="5" t="s">
        <v>31</v>
      </c>
      <c r="G21" s="4">
        <v>45980</v>
      </c>
      <c r="H21" s="5" t="s">
        <v>31</v>
      </c>
      <c r="I21" s="4">
        <v>45981</v>
      </c>
      <c r="J21" s="5" t="s">
        <v>31</v>
      </c>
      <c r="K21" s="4">
        <v>45982</v>
      </c>
      <c r="L21" s="5" t="s">
        <v>31</v>
      </c>
      <c r="M21" s="2">
        <v>45983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45984</v>
      </c>
      <c r="B27" s="3" t="s">
        <v>11</v>
      </c>
      <c r="C27" s="4">
        <v>45985</v>
      </c>
      <c r="D27" s="5" t="s">
        <v>31</v>
      </c>
      <c r="E27" s="4">
        <v>45986</v>
      </c>
      <c r="F27" s="5" t="s">
        <v>31</v>
      </c>
      <c r="G27" s="4">
        <v>45987</v>
      </c>
      <c r="H27" s="5" t="s">
        <v>31</v>
      </c>
      <c r="I27" s="4">
        <v>45988</v>
      </c>
      <c r="J27" s="5" t="s">
        <v>31</v>
      </c>
      <c r="K27" s="4">
        <v>45989</v>
      </c>
      <c r="L27" s="5" t="s">
        <v>31</v>
      </c>
      <c r="M27" s="2">
        <v>45990</v>
      </c>
      <c r="N27" s="3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81" t="s">
        <v>11</v>
      </c>
      <c r="J28" s="82"/>
      <c r="K28" s="81" t="s">
        <v>11</v>
      </c>
      <c r="L28" s="82"/>
      <c r="M28" s="79" t="s">
        <v>11</v>
      </c>
      <c r="N28" s="80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81" t="s">
        <v>11</v>
      </c>
      <c r="J29" s="82"/>
      <c r="K29" s="81" t="s">
        <v>11</v>
      </c>
      <c r="L29" s="82"/>
      <c r="M29" s="79" t="s">
        <v>11</v>
      </c>
      <c r="N29" s="80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81" t="s">
        <v>11</v>
      </c>
      <c r="J30" s="82"/>
      <c r="K30" s="81" t="s">
        <v>11</v>
      </c>
      <c r="L30" s="82"/>
      <c r="M30" s="79" t="s">
        <v>11</v>
      </c>
      <c r="N30" s="80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81" t="s">
        <v>11</v>
      </c>
      <c r="J31" s="82"/>
      <c r="K31" s="81" t="s">
        <v>11</v>
      </c>
      <c r="L31" s="82"/>
      <c r="M31" s="79" t="s">
        <v>11</v>
      </c>
      <c r="N31" s="80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4" t="s">
        <v>11</v>
      </c>
      <c r="J32" s="75"/>
      <c r="K32" s="74" t="s">
        <v>11</v>
      </c>
      <c r="L32" s="75"/>
      <c r="M32" s="72" t="s">
        <v>11</v>
      </c>
      <c r="N32" s="73"/>
    </row>
    <row r="33" spans="1:14" ht="18" customHeight="1" x14ac:dyDescent="0.15">
      <c r="A33" s="2">
        <v>45991</v>
      </c>
      <c r="B33" s="3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20 Working Days</v>
      </c>
      <c r="L33" s="77"/>
      <c r="M33" s="77"/>
      <c r="N33" s="78"/>
    </row>
    <row r="34" spans="1:14" ht="12.75" customHeight="1" x14ac:dyDescent="0.15">
      <c r="A34" s="79" t="s">
        <v>11</v>
      </c>
      <c r="B34" s="80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20</v>
      </c>
      <c r="N34" s="52" t="str">
        <f>"RM " &amp; TEXT(_xlfn.XLOOKUP(K34,DATABASE!$D$1:$D$6,DATABASE!$E$1:$E$6)*$M$34, "0.00")</f>
        <v>RM 6000.00</v>
      </c>
    </row>
    <row r="35" spans="1:14" ht="12.75" customHeight="1" x14ac:dyDescent="0.15">
      <c r="A35" s="79" t="s">
        <v>11</v>
      </c>
      <c r="B35" s="80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5000.00</v>
      </c>
    </row>
    <row r="36" spans="1:14" ht="12.75" customHeight="1" x14ac:dyDescent="0.15">
      <c r="A36" s="79" t="s">
        <v>11</v>
      </c>
      <c r="B36" s="80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4000.00</v>
      </c>
    </row>
    <row r="37" spans="1:14" ht="12.75" customHeight="1" x14ac:dyDescent="0.15">
      <c r="A37" s="79" t="s">
        <v>11</v>
      </c>
      <c r="B37" s="80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3000.00</v>
      </c>
    </row>
    <row r="38" spans="1:14" ht="12.75" customHeight="1" x14ac:dyDescent="0.15">
      <c r="A38" s="72" t="s">
        <v>11</v>
      </c>
      <c r="B38" s="73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1000.00</v>
      </c>
    </row>
    <row r="39" spans="1:14" x14ac:dyDescent="0.15">
      <c r="A39" s="17"/>
      <c r="B39" s="1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17"/>
      <c r="N39" s="17"/>
    </row>
  </sheetData>
  <mergeCells count="195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C39:L39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C258-9B34-46A2-BED7-FFE01125E82D}">
  <sheetPr codeName="Sheet12">
    <pageSetUpPr fitToPage="1"/>
  </sheetPr>
  <dimension ref="A1:N39"/>
  <sheetViews>
    <sheetView showGridLines="0" workbookViewId="0">
      <selection activeCell="D3" sqref="D3"/>
    </sheetView>
  </sheetViews>
  <sheetFormatPr defaultRowHeight="12.75" x14ac:dyDescent="0.15"/>
  <cols>
    <col min="1" max="1" width="4.3125" customWidth="1"/>
    <col min="2" max="2" width="14.15625" customWidth="1"/>
    <col min="3" max="3" width="4.3125" customWidth="1"/>
    <col min="4" max="4" width="14.15625" customWidth="1"/>
    <col min="5" max="5" width="4.3125" customWidth="1"/>
    <col min="6" max="6" width="14.15625" customWidth="1"/>
    <col min="7" max="7" width="4.3125" customWidth="1"/>
    <col min="8" max="8" width="14.15625" customWidth="1"/>
    <col min="9" max="9" width="4.3125" customWidth="1"/>
    <col min="10" max="10" width="14.15625" customWidth="1"/>
    <col min="11" max="11" width="4.3125" customWidth="1"/>
    <col min="12" max="12" width="14.15625" customWidth="1"/>
    <col min="13" max="13" width="4.3125" customWidth="1"/>
    <col min="14" max="14" width="14.15625" customWidth="1"/>
  </cols>
  <sheetData>
    <row r="1" spans="1:14" s="1" customFormat="1" ht="61.5" customHeight="1" x14ac:dyDescent="0.15">
      <c r="A1" s="83" t="s">
        <v>63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s="1" customFormat="1" ht="18" customHeight="1" x14ac:dyDescent="0.15">
      <c r="A2" s="84" t="s">
        <v>23</v>
      </c>
      <c r="B2" s="85"/>
      <c r="C2" s="85" t="s">
        <v>24</v>
      </c>
      <c r="D2" s="85"/>
      <c r="E2" s="85" t="s">
        <v>25</v>
      </c>
      <c r="F2" s="85"/>
      <c r="G2" s="85" t="s">
        <v>26</v>
      </c>
      <c r="H2" s="85"/>
      <c r="I2" s="85" t="s">
        <v>27</v>
      </c>
      <c r="J2" s="85"/>
      <c r="K2" s="85" t="s">
        <v>28</v>
      </c>
      <c r="L2" s="85"/>
      <c r="M2" s="85" t="s">
        <v>29</v>
      </c>
      <c r="N2" s="86"/>
    </row>
    <row r="3" spans="1:14" s="1" customFormat="1" ht="18" customHeight="1" x14ac:dyDescent="0.15">
      <c r="A3" s="18" t="s">
        <v>11</v>
      </c>
      <c r="B3" s="19" t="s">
        <v>11</v>
      </c>
      <c r="C3" s="4">
        <v>45992</v>
      </c>
      <c r="D3" s="5" t="str">
        <f>_xlfn.XLOOKUP(C3,'SABAH HOLIDAY LIVE'!$B:$B,'SABAH HOLIDAY LIVE'!$A:$A,"WD")</f>
        <v>WD</v>
      </c>
      <c r="E3" s="4">
        <v>45993</v>
      </c>
      <c r="F3" s="5" t="str">
        <f>_xlfn.XLOOKUP(E3,'SABAH HOLIDAY LIVE'!$B:$B,'SABAH HOLIDAY LIVE'!$A:$A,"WD")</f>
        <v>WD</v>
      </c>
      <c r="G3" s="4">
        <v>45994</v>
      </c>
      <c r="H3" s="5" t="str">
        <f>_xlfn.XLOOKUP(G3,'SABAH HOLIDAY LIVE'!$B:$B,'SABAH HOLIDAY LIVE'!$A:$A,"WD")</f>
        <v>WD</v>
      </c>
      <c r="I3" s="4">
        <v>45995</v>
      </c>
      <c r="J3" s="5" t="str">
        <f>_xlfn.XLOOKUP(I3,'SABAH HOLIDAY LIVE'!$B:$B,'SABAH HOLIDAY LIVE'!$A:$A,"WD")</f>
        <v>WD</v>
      </c>
      <c r="K3" s="4">
        <v>45996</v>
      </c>
      <c r="L3" s="5" t="str">
        <f>_xlfn.XLOOKUP(K3,'SABAH HOLIDAY LIVE'!$B:$B,'SABAH HOLIDAY LIVE'!$A:$A,"WD")</f>
        <v>WD</v>
      </c>
      <c r="M3" s="2">
        <v>45997</v>
      </c>
      <c r="N3" s="3" t="s">
        <v>11</v>
      </c>
    </row>
    <row r="4" spans="1:14" s="1" customFormat="1" ht="12.75" customHeight="1" x14ac:dyDescent="0.15">
      <c r="A4" s="68" t="s">
        <v>11</v>
      </c>
      <c r="B4" s="69"/>
      <c r="C4" s="81" t="s">
        <v>11</v>
      </c>
      <c r="D4" s="82"/>
      <c r="E4" s="81" t="s">
        <v>11</v>
      </c>
      <c r="F4" s="82"/>
      <c r="G4" s="81" t="s">
        <v>11</v>
      </c>
      <c r="H4" s="82"/>
      <c r="I4" s="81" t="s">
        <v>11</v>
      </c>
      <c r="J4" s="82"/>
      <c r="K4" s="81" t="s">
        <v>11</v>
      </c>
      <c r="L4" s="82"/>
      <c r="M4" s="79" t="s">
        <v>11</v>
      </c>
      <c r="N4" s="80"/>
    </row>
    <row r="5" spans="1:14" s="1" customFormat="1" ht="12.75" customHeight="1" x14ac:dyDescent="0.15">
      <c r="A5" s="68" t="s">
        <v>11</v>
      </c>
      <c r="B5" s="69"/>
      <c r="C5" s="81" t="s">
        <v>11</v>
      </c>
      <c r="D5" s="82"/>
      <c r="E5" s="81" t="s">
        <v>11</v>
      </c>
      <c r="F5" s="82"/>
      <c r="G5" s="81" t="s">
        <v>11</v>
      </c>
      <c r="H5" s="82"/>
      <c r="I5" s="81" t="s">
        <v>11</v>
      </c>
      <c r="J5" s="82"/>
      <c r="K5" s="81" t="s">
        <v>11</v>
      </c>
      <c r="L5" s="82"/>
      <c r="M5" s="79" t="s">
        <v>11</v>
      </c>
      <c r="N5" s="80"/>
    </row>
    <row r="6" spans="1:14" s="1" customFormat="1" ht="12.75" customHeight="1" x14ac:dyDescent="0.15">
      <c r="A6" s="68" t="s">
        <v>11</v>
      </c>
      <c r="B6" s="69"/>
      <c r="C6" s="81" t="s">
        <v>11</v>
      </c>
      <c r="D6" s="82"/>
      <c r="E6" s="81" t="s">
        <v>11</v>
      </c>
      <c r="F6" s="82"/>
      <c r="G6" s="81" t="s">
        <v>11</v>
      </c>
      <c r="H6" s="82"/>
      <c r="I6" s="81" t="s">
        <v>11</v>
      </c>
      <c r="J6" s="82"/>
      <c r="K6" s="81" t="s">
        <v>11</v>
      </c>
      <c r="L6" s="82"/>
      <c r="M6" s="79" t="s">
        <v>11</v>
      </c>
      <c r="N6" s="80"/>
    </row>
    <row r="7" spans="1:14" s="1" customFormat="1" ht="12.75" customHeight="1" x14ac:dyDescent="0.15">
      <c r="A7" s="68" t="s">
        <v>11</v>
      </c>
      <c r="B7" s="69"/>
      <c r="C7" s="81" t="s">
        <v>11</v>
      </c>
      <c r="D7" s="82"/>
      <c r="E7" s="81" t="s">
        <v>11</v>
      </c>
      <c r="F7" s="82"/>
      <c r="G7" s="81" t="s">
        <v>11</v>
      </c>
      <c r="H7" s="82"/>
      <c r="I7" s="81" t="s">
        <v>11</v>
      </c>
      <c r="J7" s="82"/>
      <c r="K7" s="81" t="s">
        <v>11</v>
      </c>
      <c r="L7" s="82"/>
      <c r="M7" s="79" t="s">
        <v>11</v>
      </c>
      <c r="N7" s="80"/>
    </row>
    <row r="8" spans="1:14" s="6" customFormat="1" ht="12.75" customHeight="1" x14ac:dyDescent="0.15">
      <c r="A8" s="70" t="s">
        <v>11</v>
      </c>
      <c r="B8" s="71"/>
      <c r="C8" s="74" t="s">
        <v>11</v>
      </c>
      <c r="D8" s="75"/>
      <c r="E8" s="74" t="s">
        <v>11</v>
      </c>
      <c r="F8" s="75"/>
      <c r="G8" s="74" t="s">
        <v>11</v>
      </c>
      <c r="H8" s="75"/>
      <c r="I8" s="74" t="s">
        <v>11</v>
      </c>
      <c r="J8" s="75"/>
      <c r="K8" s="74" t="s">
        <v>11</v>
      </c>
      <c r="L8" s="75"/>
      <c r="M8" s="72" t="s">
        <v>11</v>
      </c>
      <c r="N8" s="73"/>
    </row>
    <row r="9" spans="1:14" s="1" customFormat="1" ht="18" customHeight="1" x14ac:dyDescent="0.15">
      <c r="A9" s="2">
        <v>45998</v>
      </c>
      <c r="B9" s="3" t="s">
        <v>11</v>
      </c>
      <c r="C9" s="4">
        <v>45999</v>
      </c>
      <c r="D9" s="5" t="str">
        <f>_xlfn.XLOOKUP(C9,'SABAH HOLIDAY LIVE'!$B:$B,'SABAH HOLIDAY LIVE'!$A:$A,"WD")</f>
        <v>WD</v>
      </c>
      <c r="E9" s="4">
        <v>46000</v>
      </c>
      <c r="F9" s="5" t="str">
        <f>_xlfn.XLOOKUP(E9,'SABAH HOLIDAY LIVE'!$B:$B,'SABAH HOLIDAY LIVE'!$A:$A,"WD")</f>
        <v>WD</v>
      </c>
      <c r="G9" s="4">
        <v>46001</v>
      </c>
      <c r="H9" s="5" t="str">
        <f>_xlfn.XLOOKUP(G9,'SABAH HOLIDAY LIVE'!$B:$B,'SABAH HOLIDAY LIVE'!$A:$A,"WD")</f>
        <v>WD</v>
      </c>
      <c r="I9" s="4">
        <v>46002</v>
      </c>
      <c r="J9" s="5" t="str">
        <f>_xlfn.XLOOKUP(I9,'SABAH HOLIDAY LIVE'!$B:$B,'SABAH HOLIDAY LIVE'!$A:$A,"WD")</f>
        <v>WD</v>
      </c>
      <c r="K9" s="4">
        <v>46003</v>
      </c>
      <c r="L9" s="5" t="str">
        <f>_xlfn.XLOOKUP(K9,'SABAH HOLIDAY LIVE'!$B:$B,'SABAH HOLIDAY LIVE'!$A:$A,"WD")</f>
        <v>WD</v>
      </c>
      <c r="M9" s="2">
        <v>46004</v>
      </c>
      <c r="N9" s="3" t="s">
        <v>11</v>
      </c>
    </row>
    <row r="10" spans="1:14" s="1" customFormat="1" ht="12.75" customHeight="1" x14ac:dyDescent="0.15">
      <c r="A10" s="79" t="s">
        <v>11</v>
      </c>
      <c r="B10" s="80"/>
      <c r="C10" s="81" t="s">
        <v>11</v>
      </c>
      <c r="D10" s="82"/>
      <c r="E10" s="81" t="s">
        <v>11</v>
      </c>
      <c r="F10" s="82"/>
      <c r="G10" s="81" t="s">
        <v>11</v>
      </c>
      <c r="H10" s="82"/>
      <c r="I10" s="81" t="s">
        <v>11</v>
      </c>
      <c r="J10" s="82"/>
      <c r="K10" s="81" t="s">
        <v>11</v>
      </c>
      <c r="L10" s="82"/>
      <c r="M10" s="79" t="s">
        <v>11</v>
      </c>
      <c r="N10" s="80"/>
    </row>
    <row r="11" spans="1:14" s="1" customFormat="1" ht="12.75" customHeight="1" x14ac:dyDescent="0.15">
      <c r="A11" s="79" t="s">
        <v>11</v>
      </c>
      <c r="B11" s="80"/>
      <c r="C11" s="81" t="s">
        <v>11</v>
      </c>
      <c r="D11" s="82"/>
      <c r="E11" s="81" t="s">
        <v>11</v>
      </c>
      <c r="F11" s="82"/>
      <c r="G11" s="81" t="s">
        <v>11</v>
      </c>
      <c r="H11" s="82"/>
      <c r="I11" s="81" t="s">
        <v>11</v>
      </c>
      <c r="J11" s="82"/>
      <c r="K11" s="81" t="s">
        <v>11</v>
      </c>
      <c r="L11" s="82"/>
      <c r="M11" s="79" t="s">
        <v>11</v>
      </c>
      <c r="N11" s="80"/>
    </row>
    <row r="12" spans="1:14" s="1" customFormat="1" ht="12.75" customHeight="1" x14ac:dyDescent="0.15">
      <c r="A12" s="79" t="s">
        <v>11</v>
      </c>
      <c r="B12" s="80"/>
      <c r="C12" s="81" t="s">
        <v>11</v>
      </c>
      <c r="D12" s="82"/>
      <c r="E12" s="81" t="s">
        <v>11</v>
      </c>
      <c r="F12" s="82"/>
      <c r="G12" s="81" t="s">
        <v>11</v>
      </c>
      <c r="H12" s="82"/>
      <c r="I12" s="81" t="s">
        <v>11</v>
      </c>
      <c r="J12" s="82"/>
      <c r="K12" s="81" t="s">
        <v>11</v>
      </c>
      <c r="L12" s="82"/>
      <c r="M12" s="79" t="s">
        <v>11</v>
      </c>
      <c r="N12" s="80"/>
    </row>
    <row r="13" spans="1:14" s="1" customFormat="1" ht="12.75" customHeight="1" x14ac:dyDescent="0.15">
      <c r="A13" s="79" t="s">
        <v>11</v>
      </c>
      <c r="B13" s="80"/>
      <c r="C13" s="81" t="s">
        <v>11</v>
      </c>
      <c r="D13" s="82"/>
      <c r="E13" s="81" t="s">
        <v>11</v>
      </c>
      <c r="F13" s="82"/>
      <c r="G13" s="81" t="s">
        <v>11</v>
      </c>
      <c r="H13" s="82"/>
      <c r="I13" s="81" t="s">
        <v>11</v>
      </c>
      <c r="J13" s="82"/>
      <c r="K13" s="81" t="s">
        <v>11</v>
      </c>
      <c r="L13" s="82"/>
      <c r="M13" s="79" t="s">
        <v>11</v>
      </c>
      <c r="N13" s="80"/>
    </row>
    <row r="14" spans="1:14" s="6" customFormat="1" ht="12.75" customHeight="1" x14ac:dyDescent="0.15">
      <c r="A14" s="72" t="s">
        <v>11</v>
      </c>
      <c r="B14" s="73"/>
      <c r="C14" s="74" t="s">
        <v>11</v>
      </c>
      <c r="D14" s="75"/>
      <c r="E14" s="74" t="s">
        <v>11</v>
      </c>
      <c r="F14" s="75"/>
      <c r="G14" s="74" t="s">
        <v>11</v>
      </c>
      <c r="H14" s="75"/>
      <c r="I14" s="74" t="s">
        <v>11</v>
      </c>
      <c r="J14" s="75"/>
      <c r="K14" s="74" t="s">
        <v>11</v>
      </c>
      <c r="L14" s="75"/>
      <c r="M14" s="72" t="s">
        <v>11</v>
      </c>
      <c r="N14" s="73"/>
    </row>
    <row r="15" spans="1:14" s="1" customFormat="1" ht="18" customHeight="1" x14ac:dyDescent="0.15">
      <c r="A15" s="2">
        <v>46005</v>
      </c>
      <c r="B15" s="3"/>
      <c r="C15" s="4">
        <v>46006</v>
      </c>
      <c r="D15" s="5" t="str">
        <f>_xlfn.XLOOKUP(C15,'SABAH HOLIDAY LIVE'!$B:$B,'SABAH HOLIDAY LIVE'!$A:$A,"WD")</f>
        <v>WD</v>
      </c>
      <c r="E15" s="4">
        <v>46007</v>
      </c>
      <c r="F15" s="5" t="str">
        <f>_xlfn.XLOOKUP(E15,'SABAH HOLIDAY LIVE'!$B:$B,'SABAH HOLIDAY LIVE'!$A:$A,"WD")</f>
        <v>WD</v>
      </c>
      <c r="G15" s="4">
        <v>46008</v>
      </c>
      <c r="H15" s="5" t="s">
        <v>31</v>
      </c>
      <c r="I15" s="4">
        <v>46009</v>
      </c>
      <c r="J15" s="5" t="str">
        <f>_xlfn.XLOOKUP(I15,'SABAH HOLIDAY LIVE'!$B:$B,'SABAH HOLIDAY LIVE'!$A:$A,"WD")</f>
        <v>WD</v>
      </c>
      <c r="K15" s="4">
        <v>46010</v>
      </c>
      <c r="L15" s="5" t="str">
        <f>_xlfn.XLOOKUP(K15,'SABAH HOLIDAY LIVE'!$B:$B,'SABAH HOLIDAY LIVE'!$A:$A,"WD")</f>
        <v>WD</v>
      </c>
      <c r="M15" s="2">
        <v>46011</v>
      </c>
      <c r="N15" s="3" t="s">
        <v>11</v>
      </c>
    </row>
    <row r="16" spans="1:14" s="1" customFormat="1" ht="12.75" customHeight="1" x14ac:dyDescent="0.15">
      <c r="A16" s="79" t="s">
        <v>11</v>
      </c>
      <c r="B16" s="80"/>
      <c r="C16" s="81" t="s">
        <v>11</v>
      </c>
      <c r="D16" s="82"/>
      <c r="E16" s="81" t="s">
        <v>11</v>
      </c>
      <c r="F16" s="82"/>
      <c r="G16" s="81" t="s">
        <v>11</v>
      </c>
      <c r="H16" s="82"/>
      <c r="I16" s="81" t="s">
        <v>11</v>
      </c>
      <c r="J16" s="82"/>
      <c r="K16" s="81" t="s">
        <v>11</v>
      </c>
      <c r="L16" s="82"/>
      <c r="M16" s="79" t="s">
        <v>11</v>
      </c>
      <c r="N16" s="80"/>
    </row>
    <row r="17" spans="1:14" s="1" customFormat="1" ht="12.75" customHeight="1" x14ac:dyDescent="0.15">
      <c r="A17" s="79" t="s">
        <v>11</v>
      </c>
      <c r="B17" s="80"/>
      <c r="C17" s="81" t="s">
        <v>11</v>
      </c>
      <c r="D17" s="82"/>
      <c r="E17" s="81" t="s">
        <v>11</v>
      </c>
      <c r="F17" s="82"/>
      <c r="G17" s="81" t="s">
        <v>11</v>
      </c>
      <c r="H17" s="82"/>
      <c r="I17" s="81" t="s">
        <v>11</v>
      </c>
      <c r="J17" s="82"/>
      <c r="K17" s="81" t="s">
        <v>11</v>
      </c>
      <c r="L17" s="82"/>
      <c r="M17" s="79" t="s">
        <v>11</v>
      </c>
      <c r="N17" s="80"/>
    </row>
    <row r="18" spans="1:14" s="1" customFormat="1" ht="12.75" customHeight="1" x14ac:dyDescent="0.15">
      <c r="A18" s="79" t="s">
        <v>11</v>
      </c>
      <c r="B18" s="80"/>
      <c r="C18" s="81" t="s">
        <v>11</v>
      </c>
      <c r="D18" s="82"/>
      <c r="E18" s="81" t="s">
        <v>11</v>
      </c>
      <c r="F18" s="82"/>
      <c r="G18" s="81" t="s">
        <v>11</v>
      </c>
      <c r="H18" s="82"/>
      <c r="I18" s="81" t="s">
        <v>11</v>
      </c>
      <c r="J18" s="82"/>
      <c r="K18" s="81" t="s">
        <v>11</v>
      </c>
      <c r="L18" s="82"/>
      <c r="M18" s="79" t="s">
        <v>11</v>
      </c>
      <c r="N18" s="80"/>
    </row>
    <row r="19" spans="1:14" s="1" customFormat="1" ht="12.75" customHeight="1" x14ac:dyDescent="0.15">
      <c r="A19" s="79" t="s">
        <v>11</v>
      </c>
      <c r="B19" s="80"/>
      <c r="C19" s="81" t="s">
        <v>11</v>
      </c>
      <c r="D19" s="82"/>
      <c r="E19" s="81" t="s">
        <v>11</v>
      </c>
      <c r="F19" s="82"/>
      <c r="G19" s="81" t="s">
        <v>11</v>
      </c>
      <c r="H19" s="82"/>
      <c r="I19" s="81" t="s">
        <v>11</v>
      </c>
      <c r="J19" s="82"/>
      <c r="K19" s="81" t="s">
        <v>11</v>
      </c>
      <c r="L19" s="82"/>
      <c r="M19" s="79" t="s">
        <v>11</v>
      </c>
      <c r="N19" s="80"/>
    </row>
    <row r="20" spans="1:14" s="6" customFormat="1" ht="12.75" customHeight="1" x14ac:dyDescent="0.15">
      <c r="A20" s="72" t="s">
        <v>11</v>
      </c>
      <c r="B20" s="73"/>
      <c r="C20" s="74" t="s">
        <v>11</v>
      </c>
      <c r="D20" s="75"/>
      <c r="E20" s="74" t="s">
        <v>11</v>
      </c>
      <c r="F20" s="75"/>
      <c r="G20" s="74" t="s">
        <v>11</v>
      </c>
      <c r="H20" s="75"/>
      <c r="I20" s="74" t="s">
        <v>11</v>
      </c>
      <c r="J20" s="75"/>
      <c r="K20" s="74" t="s">
        <v>11</v>
      </c>
      <c r="L20" s="75"/>
      <c r="M20" s="72" t="s">
        <v>11</v>
      </c>
      <c r="N20" s="73"/>
    </row>
    <row r="21" spans="1:14" s="1" customFormat="1" ht="18" customHeight="1" x14ac:dyDescent="0.15">
      <c r="A21" s="2">
        <v>46012</v>
      </c>
      <c r="B21" s="3"/>
      <c r="C21" s="4">
        <v>46013</v>
      </c>
      <c r="D21" s="5" t="str">
        <f>_xlfn.XLOOKUP(C21,'SABAH HOLIDAY LIVE'!$B:$B,'SABAH HOLIDAY LIVE'!$A:$A,"WD")</f>
        <v>WD</v>
      </c>
      <c r="E21" s="4">
        <v>46014</v>
      </c>
      <c r="F21" s="5" t="str">
        <f>_xlfn.XLOOKUP(E21,'SABAH HOLIDAY LIVE'!$B:$B,'SABAH HOLIDAY LIVE'!$A:$A,"WD")</f>
        <v>WD</v>
      </c>
      <c r="G21" s="4">
        <v>46015</v>
      </c>
      <c r="H21" s="46" t="str">
        <f>_xlfn.XLOOKUP(G21,'SABAH HOLIDAY LIVE'!$B:$B,'SABAH HOLIDAY LIVE'!$A:$A,"WD")</f>
        <v>Christmas Eve</v>
      </c>
      <c r="I21" s="4">
        <v>46016</v>
      </c>
      <c r="J21" s="46" t="str">
        <f>_xlfn.XLOOKUP(I21,'SABAH HOLIDAY LIVE'!$B:$B,'SABAH HOLIDAY LIVE'!$A:$A,"WD")</f>
        <v>Hari Krismas</v>
      </c>
      <c r="K21" s="4">
        <v>46017</v>
      </c>
      <c r="L21" s="5" t="str">
        <f>_xlfn.XLOOKUP(K21,'SABAH HOLIDAY LIVE'!$B:$B,'SABAH HOLIDAY LIVE'!$A:$A,"WD")</f>
        <v>WD</v>
      </c>
      <c r="M21" s="2">
        <v>46018</v>
      </c>
      <c r="N21" s="3" t="s">
        <v>11</v>
      </c>
    </row>
    <row r="22" spans="1:14" s="1" customFormat="1" ht="12.75" customHeight="1" x14ac:dyDescent="0.15">
      <c r="A22" s="79" t="s">
        <v>11</v>
      </c>
      <c r="B22" s="80"/>
      <c r="C22" s="81" t="s">
        <v>11</v>
      </c>
      <c r="D22" s="82"/>
      <c r="E22" s="81" t="s">
        <v>11</v>
      </c>
      <c r="F22" s="82"/>
      <c r="G22" s="81" t="s">
        <v>11</v>
      </c>
      <c r="H22" s="82"/>
      <c r="I22" s="81" t="s">
        <v>11</v>
      </c>
      <c r="J22" s="82"/>
      <c r="K22" s="81" t="s">
        <v>11</v>
      </c>
      <c r="L22" s="82"/>
      <c r="M22" s="79" t="s">
        <v>11</v>
      </c>
      <c r="N22" s="80"/>
    </row>
    <row r="23" spans="1:14" s="1" customFormat="1" ht="12.75" customHeight="1" x14ac:dyDescent="0.15">
      <c r="A23" s="79" t="s">
        <v>11</v>
      </c>
      <c r="B23" s="80"/>
      <c r="C23" s="81" t="s">
        <v>11</v>
      </c>
      <c r="D23" s="82"/>
      <c r="E23" s="81" t="s">
        <v>11</v>
      </c>
      <c r="F23" s="82"/>
      <c r="G23" s="81" t="s">
        <v>11</v>
      </c>
      <c r="H23" s="82"/>
      <c r="I23" s="81" t="s">
        <v>11</v>
      </c>
      <c r="J23" s="82"/>
      <c r="K23" s="81" t="s">
        <v>11</v>
      </c>
      <c r="L23" s="82"/>
      <c r="M23" s="79" t="s">
        <v>11</v>
      </c>
      <c r="N23" s="80"/>
    </row>
    <row r="24" spans="1:14" s="1" customFormat="1" ht="12.75" customHeight="1" x14ac:dyDescent="0.15">
      <c r="A24" s="79" t="s">
        <v>11</v>
      </c>
      <c r="B24" s="80"/>
      <c r="C24" s="81" t="s">
        <v>11</v>
      </c>
      <c r="D24" s="82"/>
      <c r="E24" s="81" t="s">
        <v>11</v>
      </c>
      <c r="F24" s="82"/>
      <c r="G24" s="81" t="s">
        <v>11</v>
      </c>
      <c r="H24" s="82"/>
      <c r="I24" s="81" t="s">
        <v>11</v>
      </c>
      <c r="J24" s="82"/>
      <c r="K24" s="81" t="s">
        <v>11</v>
      </c>
      <c r="L24" s="82"/>
      <c r="M24" s="79" t="s">
        <v>11</v>
      </c>
      <c r="N24" s="80"/>
    </row>
    <row r="25" spans="1:14" s="1" customFormat="1" ht="12.75" customHeight="1" x14ac:dyDescent="0.15">
      <c r="A25" s="79" t="s">
        <v>11</v>
      </c>
      <c r="B25" s="80"/>
      <c r="C25" s="81" t="s">
        <v>11</v>
      </c>
      <c r="D25" s="82"/>
      <c r="E25" s="81" t="s">
        <v>11</v>
      </c>
      <c r="F25" s="82"/>
      <c r="G25" s="81" t="s">
        <v>11</v>
      </c>
      <c r="H25" s="82"/>
      <c r="I25" s="81" t="s">
        <v>11</v>
      </c>
      <c r="J25" s="82"/>
      <c r="K25" s="81" t="s">
        <v>11</v>
      </c>
      <c r="L25" s="82"/>
      <c r="M25" s="79" t="s">
        <v>11</v>
      </c>
      <c r="N25" s="80"/>
    </row>
    <row r="26" spans="1:14" s="6" customFormat="1" ht="12.75" customHeight="1" x14ac:dyDescent="0.15">
      <c r="A26" s="79" t="s">
        <v>11</v>
      </c>
      <c r="B26" s="80"/>
      <c r="C26" s="81" t="s">
        <v>11</v>
      </c>
      <c r="D26" s="82"/>
      <c r="E26" s="81" t="s">
        <v>11</v>
      </c>
      <c r="F26" s="82"/>
      <c r="G26" s="81" t="s">
        <v>11</v>
      </c>
      <c r="H26" s="82"/>
      <c r="I26" s="81" t="s">
        <v>11</v>
      </c>
      <c r="J26" s="82"/>
      <c r="K26" s="81" t="s">
        <v>11</v>
      </c>
      <c r="L26" s="82"/>
      <c r="M26" s="79" t="s">
        <v>11</v>
      </c>
      <c r="N26" s="80"/>
    </row>
    <row r="27" spans="1:14" s="1" customFormat="1" ht="18" customHeight="1" x14ac:dyDescent="0.15">
      <c r="A27" s="2">
        <v>46019</v>
      </c>
      <c r="B27" s="3" t="s">
        <v>11</v>
      </c>
      <c r="C27" s="4">
        <v>46020</v>
      </c>
      <c r="D27" s="5" t="str">
        <f>_xlfn.XLOOKUP(C27,'SABAH HOLIDAY LIVE'!$B:$B,'SABAH HOLIDAY LIVE'!$A:$A,"WD")</f>
        <v>WD</v>
      </c>
      <c r="E27" s="4">
        <v>46021</v>
      </c>
      <c r="F27" s="5" t="str">
        <f>_xlfn.XLOOKUP(E27,'SABAH HOLIDAY LIVE'!$B:$B,'SABAH HOLIDAY LIVE'!$A:$A,"WD")</f>
        <v>WD</v>
      </c>
      <c r="G27" s="4">
        <v>46022</v>
      </c>
      <c r="H27" s="5" t="str">
        <f>_xlfn.XLOOKUP(G27,'SABAH HOLIDAY LIVE'!$B:$B,'SABAH HOLIDAY LIVE'!$A:$A,"WD")</f>
        <v>WD</v>
      </c>
      <c r="I27" s="18" t="s">
        <v>11</v>
      </c>
      <c r="J27" s="19" t="s">
        <v>11</v>
      </c>
      <c r="K27" s="18" t="s">
        <v>11</v>
      </c>
      <c r="L27" s="19" t="s">
        <v>11</v>
      </c>
      <c r="M27" s="18" t="s">
        <v>11</v>
      </c>
      <c r="N27" s="19" t="s">
        <v>11</v>
      </c>
    </row>
    <row r="28" spans="1:14" s="1" customFormat="1" ht="12.75" customHeight="1" x14ac:dyDescent="0.15">
      <c r="A28" s="79" t="s">
        <v>11</v>
      </c>
      <c r="B28" s="80"/>
      <c r="C28" s="81" t="s">
        <v>11</v>
      </c>
      <c r="D28" s="82"/>
      <c r="E28" s="81" t="s">
        <v>11</v>
      </c>
      <c r="F28" s="82"/>
      <c r="G28" s="81" t="s">
        <v>11</v>
      </c>
      <c r="H28" s="82"/>
      <c r="I28" s="68" t="s">
        <v>11</v>
      </c>
      <c r="J28" s="69"/>
      <c r="K28" s="68" t="s">
        <v>11</v>
      </c>
      <c r="L28" s="69"/>
      <c r="M28" s="68" t="s">
        <v>11</v>
      </c>
      <c r="N28" s="69"/>
    </row>
    <row r="29" spans="1:14" s="1" customFormat="1" ht="12.75" customHeight="1" x14ac:dyDescent="0.15">
      <c r="A29" s="79" t="s">
        <v>11</v>
      </c>
      <c r="B29" s="80"/>
      <c r="C29" s="81" t="s">
        <v>11</v>
      </c>
      <c r="D29" s="82"/>
      <c r="E29" s="81" t="s">
        <v>11</v>
      </c>
      <c r="F29" s="82"/>
      <c r="G29" s="81" t="s">
        <v>11</v>
      </c>
      <c r="H29" s="82"/>
      <c r="I29" s="68" t="s">
        <v>11</v>
      </c>
      <c r="J29" s="69"/>
      <c r="K29" s="68" t="s">
        <v>11</v>
      </c>
      <c r="L29" s="69"/>
      <c r="M29" s="68" t="s">
        <v>11</v>
      </c>
      <c r="N29" s="69"/>
    </row>
    <row r="30" spans="1:14" s="1" customFormat="1" ht="12.75" customHeight="1" x14ac:dyDescent="0.15">
      <c r="A30" s="79" t="s">
        <v>11</v>
      </c>
      <c r="B30" s="80"/>
      <c r="C30" s="81" t="s">
        <v>11</v>
      </c>
      <c r="D30" s="82"/>
      <c r="E30" s="81" t="s">
        <v>11</v>
      </c>
      <c r="F30" s="82"/>
      <c r="G30" s="81" t="s">
        <v>11</v>
      </c>
      <c r="H30" s="82"/>
      <c r="I30" s="68" t="s">
        <v>11</v>
      </c>
      <c r="J30" s="69"/>
      <c r="K30" s="68" t="s">
        <v>11</v>
      </c>
      <c r="L30" s="69"/>
      <c r="M30" s="68" t="s">
        <v>11</v>
      </c>
      <c r="N30" s="69"/>
    </row>
    <row r="31" spans="1:14" s="1" customFormat="1" ht="12.75" customHeight="1" x14ac:dyDescent="0.15">
      <c r="A31" s="79" t="s">
        <v>11</v>
      </c>
      <c r="B31" s="80"/>
      <c r="C31" s="81" t="s">
        <v>11</v>
      </c>
      <c r="D31" s="82"/>
      <c r="E31" s="81" t="s">
        <v>11</v>
      </c>
      <c r="F31" s="82"/>
      <c r="G31" s="81" t="s">
        <v>11</v>
      </c>
      <c r="H31" s="82"/>
      <c r="I31" s="68" t="s">
        <v>11</v>
      </c>
      <c r="J31" s="69"/>
      <c r="K31" s="68" t="s">
        <v>11</v>
      </c>
      <c r="L31" s="69"/>
      <c r="M31" s="68" t="s">
        <v>11</v>
      </c>
      <c r="N31" s="69"/>
    </row>
    <row r="32" spans="1:14" s="6" customFormat="1" ht="12.75" customHeight="1" x14ac:dyDescent="0.15">
      <c r="A32" s="72" t="s">
        <v>11</v>
      </c>
      <c r="B32" s="73"/>
      <c r="C32" s="74" t="s">
        <v>11</v>
      </c>
      <c r="D32" s="75"/>
      <c r="E32" s="74" t="s">
        <v>11</v>
      </c>
      <c r="F32" s="75"/>
      <c r="G32" s="74" t="s">
        <v>11</v>
      </c>
      <c r="H32" s="75"/>
      <c r="I32" s="70" t="s">
        <v>11</v>
      </c>
      <c r="J32" s="71"/>
      <c r="K32" s="70" t="s">
        <v>11</v>
      </c>
      <c r="L32" s="71"/>
      <c r="M32" s="70" t="s">
        <v>11</v>
      </c>
      <c r="N32" s="71"/>
    </row>
    <row r="33" spans="1:14" ht="18" customHeight="1" x14ac:dyDescent="0.15">
      <c r="A33" s="18" t="s">
        <v>11</v>
      </c>
      <c r="B33" s="19" t="s">
        <v>11</v>
      </c>
      <c r="C33" s="18" t="s">
        <v>11</v>
      </c>
      <c r="D33" s="19" t="s">
        <v>11</v>
      </c>
      <c r="E33" s="7"/>
      <c r="F33" s="8"/>
      <c r="G33" s="8"/>
      <c r="H33" s="8"/>
      <c r="I33" s="8"/>
      <c r="J33" s="9"/>
      <c r="K33" s="76" t="str">
        <f>COUNTIF(A3:N32, "*WD*") &amp; " Working Days"</f>
        <v>21 Working Days</v>
      </c>
      <c r="L33" s="77"/>
      <c r="M33" s="77"/>
      <c r="N33" s="78"/>
    </row>
    <row r="34" spans="1:14" ht="12.75" customHeight="1" x14ac:dyDescent="0.15">
      <c r="A34" s="68" t="s">
        <v>11</v>
      </c>
      <c r="B34" s="69"/>
      <c r="C34" s="68" t="s">
        <v>11</v>
      </c>
      <c r="D34" s="69"/>
      <c r="E34" s="10"/>
      <c r="F34" s="11"/>
      <c r="G34" s="11"/>
      <c r="H34" s="11"/>
      <c r="I34" s="11"/>
      <c r="J34" s="12"/>
      <c r="K34" s="48" t="s">
        <v>33</v>
      </c>
      <c r="L34" s="11"/>
      <c r="M34" s="54">
        <f>COUNTIF(A3:N32, "*WD*")</f>
        <v>21</v>
      </c>
      <c r="N34" s="52" t="str">
        <f>"RM " &amp; TEXT(_xlfn.XLOOKUP(K34,DATABASE!$D$1:$D$6,DATABASE!$E$1:$E$6)*$M$34, "0.00")</f>
        <v>RM 6300.00</v>
      </c>
    </row>
    <row r="35" spans="1:14" ht="12.75" customHeight="1" x14ac:dyDescent="0.15">
      <c r="A35" s="68" t="s">
        <v>11</v>
      </c>
      <c r="B35" s="69"/>
      <c r="C35" s="68" t="s">
        <v>11</v>
      </c>
      <c r="D35" s="69"/>
      <c r="E35" s="10"/>
      <c r="F35" s="11"/>
      <c r="G35" s="11"/>
      <c r="H35" s="11"/>
      <c r="I35" s="11"/>
      <c r="J35" s="12"/>
      <c r="K35" s="48" t="s">
        <v>34</v>
      </c>
      <c r="L35" s="11"/>
      <c r="N35" s="52" t="str">
        <f>"RM " &amp; TEXT(_xlfn.XLOOKUP(K35,DATABASE!$D$1:$D$6,DATABASE!$E$1:$E$6)*$M$34, "0.00")</f>
        <v>RM 5250.00</v>
      </c>
    </row>
    <row r="36" spans="1:14" ht="12.75" customHeight="1" x14ac:dyDescent="0.15">
      <c r="A36" s="68" t="s">
        <v>11</v>
      </c>
      <c r="B36" s="69"/>
      <c r="C36" s="68" t="s">
        <v>11</v>
      </c>
      <c r="D36" s="69"/>
      <c r="E36" s="10"/>
      <c r="F36" s="11"/>
      <c r="G36" s="11"/>
      <c r="H36" s="11"/>
      <c r="I36" s="11"/>
      <c r="J36" s="12"/>
      <c r="K36" s="48" t="s">
        <v>35</v>
      </c>
      <c r="L36" s="11"/>
      <c r="N36" s="52" t="str">
        <f>"RM " &amp; TEXT(_xlfn.XLOOKUP(K36,DATABASE!$D$1:$D$6,DATABASE!$E$1:$E$6)*$M$34, "0.00")</f>
        <v>RM 4200.00</v>
      </c>
    </row>
    <row r="37" spans="1:14" ht="12.75" customHeight="1" x14ac:dyDescent="0.15">
      <c r="A37" s="68" t="s">
        <v>11</v>
      </c>
      <c r="B37" s="69"/>
      <c r="C37" s="68" t="s">
        <v>11</v>
      </c>
      <c r="D37" s="69"/>
      <c r="E37" s="10"/>
      <c r="F37" s="11"/>
      <c r="G37" s="11"/>
      <c r="H37" s="11"/>
      <c r="I37" s="11"/>
      <c r="J37" s="12"/>
      <c r="K37" s="48" t="s">
        <v>36</v>
      </c>
      <c r="L37" s="13"/>
      <c r="N37" s="52" t="str">
        <f>"RM " &amp; TEXT(_xlfn.XLOOKUP(K37,DATABASE!$D$1:$D$6,DATABASE!$E$1:$E$6)*$M$34, "0.00")</f>
        <v>RM 3150.00</v>
      </c>
    </row>
    <row r="38" spans="1:14" ht="12.75" customHeight="1" x14ac:dyDescent="0.15">
      <c r="A38" s="70" t="s">
        <v>11</v>
      </c>
      <c r="B38" s="71"/>
      <c r="C38" s="70" t="s">
        <v>11</v>
      </c>
      <c r="D38" s="71"/>
      <c r="E38" s="14"/>
      <c r="F38" s="15"/>
      <c r="G38" s="15"/>
      <c r="H38" s="15"/>
      <c r="I38" s="15"/>
      <c r="J38" s="16" t="s">
        <v>21</v>
      </c>
      <c r="K38" s="50" t="s">
        <v>37</v>
      </c>
      <c r="L38" s="49"/>
      <c r="M38" s="43"/>
      <c r="N38" s="53" t="str">
        <f>"RM " &amp; TEXT(_xlfn.XLOOKUP(K38,DATABASE!$D$1:$D$6,DATABASE!$E$1:$E$6)*$M$34, "0.00")</f>
        <v>RM 1050.00</v>
      </c>
    </row>
    <row r="39" spans="1:14" x14ac:dyDescent="0.15">
      <c r="A39" s="17"/>
      <c r="B39" s="1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17"/>
      <c r="N39" s="17"/>
    </row>
  </sheetData>
  <mergeCells count="195">
    <mergeCell ref="A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C39:L39"/>
    <mergeCell ref="A37:B37"/>
    <mergeCell ref="C37:D37"/>
    <mergeCell ref="A38:B38"/>
    <mergeCell ref="C38:D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K33:N33"/>
  </mergeCells>
  <printOptions horizontalCentered="1"/>
  <pageMargins left="0.35" right="0.35" top="0.25" bottom="0.25" header="0.25" footer="0.25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A5E4-3C5C-4A5F-A170-75B641BEE290}">
  <dimension ref="A1:E22"/>
  <sheetViews>
    <sheetView workbookViewId="0">
      <selection activeCell="C17" sqref="C17"/>
    </sheetView>
  </sheetViews>
  <sheetFormatPr defaultRowHeight="12.75" x14ac:dyDescent="0.15"/>
  <cols>
    <col min="3" max="3" width="26.29296875" bestFit="1" customWidth="1"/>
  </cols>
  <sheetData>
    <row r="1" spans="1:5" x14ac:dyDescent="0.15">
      <c r="A1" t="s">
        <v>64</v>
      </c>
      <c r="B1" t="s">
        <v>65</v>
      </c>
      <c r="C1" t="s">
        <v>66</v>
      </c>
      <c r="D1" t="s">
        <v>33</v>
      </c>
      <c r="E1" s="51">
        <v>300</v>
      </c>
    </row>
    <row r="2" spans="1:5" x14ac:dyDescent="0.15">
      <c r="A2" s="47">
        <v>45658</v>
      </c>
      <c r="B2" t="s">
        <v>67</v>
      </c>
      <c r="C2" t="s">
        <v>68</v>
      </c>
      <c r="D2" s="61" t="s">
        <v>34</v>
      </c>
      <c r="E2" s="51">
        <v>250</v>
      </c>
    </row>
    <row r="3" spans="1:5" x14ac:dyDescent="0.15">
      <c r="A3" s="47">
        <v>45686</v>
      </c>
      <c r="B3" t="s">
        <v>67</v>
      </c>
      <c r="C3" t="s">
        <v>69</v>
      </c>
      <c r="D3" t="s">
        <v>70</v>
      </c>
      <c r="E3" s="51">
        <v>250</v>
      </c>
    </row>
    <row r="4" spans="1:5" x14ac:dyDescent="0.15">
      <c r="A4" s="47">
        <v>45687</v>
      </c>
      <c r="B4" t="s">
        <v>71</v>
      </c>
      <c r="C4" t="s">
        <v>72</v>
      </c>
      <c r="D4" t="s">
        <v>35</v>
      </c>
      <c r="E4" s="51">
        <v>200</v>
      </c>
    </row>
    <row r="5" spans="1:5" x14ac:dyDescent="0.15">
      <c r="A5" s="47">
        <v>45746</v>
      </c>
      <c r="B5" t="s">
        <v>73</v>
      </c>
      <c r="C5" t="s">
        <v>74</v>
      </c>
      <c r="D5" t="s">
        <v>36</v>
      </c>
      <c r="E5" s="51">
        <v>150</v>
      </c>
    </row>
    <row r="6" spans="1:5" x14ac:dyDescent="0.15">
      <c r="A6" s="47">
        <v>45747</v>
      </c>
      <c r="B6" t="s">
        <v>75</v>
      </c>
      <c r="C6" t="s">
        <v>40</v>
      </c>
      <c r="D6" t="s">
        <v>37</v>
      </c>
      <c r="E6" s="51">
        <v>50</v>
      </c>
    </row>
    <row r="7" spans="1:5" x14ac:dyDescent="0.15">
      <c r="A7" s="47">
        <v>45748</v>
      </c>
      <c r="B7" t="s">
        <v>76</v>
      </c>
      <c r="C7" t="s">
        <v>77</v>
      </c>
    </row>
    <row r="8" spans="1:5" x14ac:dyDescent="0.15">
      <c r="A8" s="47">
        <v>45765</v>
      </c>
      <c r="B8" t="s">
        <v>78</v>
      </c>
      <c r="C8" t="s">
        <v>79</v>
      </c>
    </row>
    <row r="9" spans="1:5" x14ac:dyDescent="0.15">
      <c r="A9" s="47">
        <v>45778</v>
      </c>
      <c r="B9" t="s">
        <v>71</v>
      </c>
      <c r="C9" t="s">
        <v>80</v>
      </c>
    </row>
    <row r="10" spans="1:5" x14ac:dyDescent="0.15">
      <c r="A10" s="47">
        <v>45789</v>
      </c>
      <c r="B10" t="s">
        <v>75</v>
      </c>
      <c r="C10" t="s">
        <v>81</v>
      </c>
    </row>
    <row r="11" spans="1:5" x14ac:dyDescent="0.15">
      <c r="A11" s="47">
        <v>45807</v>
      </c>
      <c r="B11" t="s">
        <v>78</v>
      </c>
      <c r="C11" t="s">
        <v>82</v>
      </c>
    </row>
    <row r="12" spans="1:5" x14ac:dyDescent="0.15">
      <c r="A12" s="47">
        <v>45808</v>
      </c>
      <c r="B12" t="s">
        <v>83</v>
      </c>
      <c r="C12" t="s">
        <v>84</v>
      </c>
    </row>
    <row r="13" spans="1:5" x14ac:dyDescent="0.15">
      <c r="A13" s="47">
        <v>45810</v>
      </c>
      <c r="B13" t="s">
        <v>75</v>
      </c>
      <c r="C13" t="s">
        <v>85</v>
      </c>
    </row>
    <row r="14" spans="1:5" x14ac:dyDescent="0.15">
      <c r="A14" s="47">
        <v>45815</v>
      </c>
      <c r="B14" t="s">
        <v>83</v>
      </c>
      <c r="C14" t="s">
        <v>86</v>
      </c>
    </row>
    <row r="15" spans="1:5" x14ac:dyDescent="0.15">
      <c r="A15" s="47">
        <v>45835</v>
      </c>
      <c r="B15" t="s">
        <v>78</v>
      </c>
      <c r="C15" t="s">
        <v>87</v>
      </c>
    </row>
    <row r="16" spans="1:5" x14ac:dyDescent="0.15">
      <c r="A16" s="47">
        <v>45900</v>
      </c>
      <c r="B16" t="s">
        <v>73</v>
      </c>
      <c r="C16" t="s">
        <v>88</v>
      </c>
    </row>
    <row r="17" spans="1:3" x14ac:dyDescent="0.15">
      <c r="A17" s="47">
        <v>45901</v>
      </c>
      <c r="B17" t="s">
        <v>75</v>
      </c>
      <c r="C17" t="s">
        <v>89</v>
      </c>
    </row>
    <row r="18" spans="1:3" x14ac:dyDescent="0.15">
      <c r="A18" s="47">
        <v>45905</v>
      </c>
      <c r="B18" t="s">
        <v>78</v>
      </c>
      <c r="C18" t="s">
        <v>90</v>
      </c>
    </row>
    <row r="19" spans="1:3" x14ac:dyDescent="0.15">
      <c r="A19" s="47">
        <v>45916</v>
      </c>
      <c r="B19" t="s">
        <v>76</v>
      </c>
      <c r="C19" t="s">
        <v>91</v>
      </c>
    </row>
    <row r="20" spans="1:3" x14ac:dyDescent="0.15">
      <c r="A20" s="47">
        <v>45950</v>
      </c>
      <c r="B20" t="s">
        <v>75</v>
      </c>
      <c r="C20" t="s">
        <v>92</v>
      </c>
    </row>
    <row r="21" spans="1:3" x14ac:dyDescent="0.15">
      <c r="A21" s="47">
        <v>46015</v>
      </c>
      <c r="B21" t="s">
        <v>67</v>
      </c>
      <c r="C21" t="s">
        <v>93</v>
      </c>
    </row>
    <row r="22" spans="1:3" x14ac:dyDescent="0.15">
      <c r="A22" s="47">
        <v>46016</v>
      </c>
      <c r="B22" t="s">
        <v>71</v>
      </c>
      <c r="C22" t="s">
        <v>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2BC8-D9F0-4C57-8C3E-EC604ED58876}">
  <dimension ref="A1:B22"/>
  <sheetViews>
    <sheetView workbookViewId="0">
      <selection activeCell="F23" sqref="F23"/>
    </sheetView>
  </sheetViews>
  <sheetFormatPr defaultRowHeight="12.75" x14ac:dyDescent="0.15"/>
  <cols>
    <col min="1" max="1" width="58.390625" bestFit="1" customWidth="1"/>
    <col min="2" max="2" width="11.0546875" bestFit="1" customWidth="1"/>
  </cols>
  <sheetData>
    <row r="1" spans="1:2" x14ac:dyDescent="0.15">
      <c r="A1" t="s">
        <v>95</v>
      </c>
      <c r="B1" t="s">
        <v>96</v>
      </c>
    </row>
    <row r="2" spans="1:2" x14ac:dyDescent="0.15">
      <c r="A2" t="s">
        <v>11</v>
      </c>
      <c r="B2" s="63"/>
    </row>
    <row r="3" spans="1:2" x14ac:dyDescent="0.15">
      <c r="A3" t="s">
        <v>97</v>
      </c>
      <c r="B3" s="63">
        <v>45658</v>
      </c>
    </row>
    <row r="4" spans="1:2" x14ac:dyDescent="0.15">
      <c r="A4" t="s">
        <v>98</v>
      </c>
      <c r="B4" s="63">
        <v>45686</v>
      </c>
    </row>
    <row r="5" spans="1:2" x14ac:dyDescent="0.15">
      <c r="A5" t="s">
        <v>99</v>
      </c>
      <c r="B5" s="63">
        <v>45687</v>
      </c>
    </row>
    <row r="6" spans="1:2" x14ac:dyDescent="0.15">
      <c r="A6" t="s">
        <v>100</v>
      </c>
      <c r="B6" s="63">
        <v>45746</v>
      </c>
    </row>
    <row r="7" spans="1:2" x14ac:dyDescent="0.15">
      <c r="A7" t="s">
        <v>101</v>
      </c>
      <c r="B7" s="63">
        <v>45747</v>
      </c>
    </row>
    <row r="8" spans="1:2" x14ac:dyDescent="0.15">
      <c r="A8" t="s">
        <v>102</v>
      </c>
      <c r="B8" s="63">
        <v>45748</v>
      </c>
    </row>
    <row r="9" spans="1:2" x14ac:dyDescent="0.15">
      <c r="A9" t="s">
        <v>79</v>
      </c>
      <c r="B9" s="63">
        <v>45765</v>
      </c>
    </row>
    <row r="10" spans="1:2" x14ac:dyDescent="0.15">
      <c r="A10" t="s">
        <v>103</v>
      </c>
      <c r="B10" s="63">
        <v>45778</v>
      </c>
    </row>
    <row r="11" spans="1:2" x14ac:dyDescent="0.15">
      <c r="A11" t="s">
        <v>104</v>
      </c>
      <c r="B11" s="63">
        <v>45789</v>
      </c>
    </row>
    <row r="12" spans="1:2" x14ac:dyDescent="0.15">
      <c r="A12" t="s">
        <v>105</v>
      </c>
      <c r="B12" s="63">
        <v>45807</v>
      </c>
    </row>
    <row r="13" spans="1:2" x14ac:dyDescent="0.15">
      <c r="A13" t="s">
        <v>106</v>
      </c>
      <c r="B13" s="63">
        <v>45808</v>
      </c>
    </row>
    <row r="14" spans="1:2" x14ac:dyDescent="0.15">
      <c r="A14" t="s">
        <v>107</v>
      </c>
      <c r="B14" s="63">
        <v>45810</v>
      </c>
    </row>
    <row r="15" spans="1:2" x14ac:dyDescent="0.15">
      <c r="A15" t="s">
        <v>108</v>
      </c>
      <c r="B15" s="63">
        <v>45815</v>
      </c>
    </row>
    <row r="16" spans="1:2" x14ac:dyDescent="0.15">
      <c r="A16" t="s">
        <v>109</v>
      </c>
      <c r="B16" s="63">
        <v>45835</v>
      </c>
    </row>
    <row r="17" spans="1:2" x14ac:dyDescent="0.15">
      <c r="A17" t="s">
        <v>110</v>
      </c>
      <c r="B17" s="63">
        <v>45900</v>
      </c>
    </row>
    <row r="18" spans="1:2" x14ac:dyDescent="0.15">
      <c r="A18" t="s">
        <v>111</v>
      </c>
      <c r="B18" s="63">
        <v>45905</v>
      </c>
    </row>
    <row r="19" spans="1:2" x14ac:dyDescent="0.15">
      <c r="A19" t="s">
        <v>112</v>
      </c>
      <c r="B19" s="63">
        <v>45916</v>
      </c>
    </row>
    <row r="20" spans="1:2" x14ac:dyDescent="0.15">
      <c r="A20" t="s">
        <v>113</v>
      </c>
      <c r="B20" s="63">
        <v>45950</v>
      </c>
    </row>
    <row r="21" spans="1:2" x14ac:dyDescent="0.15">
      <c r="A21" t="s">
        <v>93</v>
      </c>
      <c r="B21" s="63">
        <v>46015</v>
      </c>
    </row>
    <row r="22" spans="1:2" x14ac:dyDescent="0.15">
      <c r="A22" t="s">
        <v>114</v>
      </c>
      <c r="B22" s="63">
        <v>46016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EA7933-2442-4A24-9C88-E4A4B35DA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2025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DATABASE</vt:lpstr>
      <vt:lpstr>SABAH HOLIDAY LIVE</vt:lpstr>
      <vt:lpstr>2025!Print_Area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Calendar Template</dc:title>
  <dc:subject/>
  <dc:creator>Vertex42.com</dc:creator>
  <cp:keywords/>
  <dc:description>(c) 2019 Vertex42 LLC. All Rights Reserved. Free to Print.</dc:description>
  <cp:lastModifiedBy>Rachel Webster</cp:lastModifiedBy>
  <cp:revision/>
  <dcterms:created xsi:type="dcterms:W3CDTF">2019-12-16T18:01:41Z</dcterms:created>
  <dcterms:modified xsi:type="dcterms:W3CDTF">2025-08-12T02:15:39Z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2019 Vertex42 LLC</vt:lpwstr>
  </property>
  <property fmtid="{D5CDD505-2E9C-101B-9397-08002B2CF9AE}" pid="3" name="_Template">
    <vt:lpwstr>_42314159</vt:lpwstr>
  </property>
  <property fmtid="{D5CDD505-2E9C-101B-9397-08002B2CF9AE}" pid="4" name="Version">
    <vt:lpwstr>1.0.0</vt:lpwstr>
  </property>
</Properties>
</file>